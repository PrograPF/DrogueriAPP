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ctiv\Downloads\"/>
    </mc:Choice>
  </mc:AlternateContent>
  <xr:revisionPtr revIDLastSave="0" documentId="13_ncr:1_{243DFA40-E8CA-489B-9135-7458723BA3C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alendario" sheetId="1" r:id="rId1"/>
    <sheet name="Plan semanal" sheetId="2" r:id="rId2"/>
    <sheet name="Periódicas" sheetId="3" r:id="rId3"/>
    <sheet name="Detalle de tareas" sheetId="4" r:id="rId4"/>
    <sheet name="Configuración" sheetId="5" r:id="rId5"/>
    <sheet name="Versión original" sheetId="6" r:id="rId6"/>
  </sheets>
  <definedNames>
    <definedName name="_xlnm._FilterDatabase" localSheetId="3" hidden="1">'Detalle de tareas'!$A$4:$I$47</definedName>
    <definedName name="_xlnm.Print_Area" localSheetId="0">Calendario!$A$1:$M$37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1" l="1"/>
  <c r="B4" i="5"/>
  <c r="A30" i="1"/>
  <c r="A24" i="1"/>
  <c r="A18" i="1"/>
  <c r="A12" i="1"/>
  <c r="A6" i="1"/>
  <c r="A1" i="1"/>
  <c r="Q22" i="3" l="1"/>
  <c r="Q21" i="3"/>
  <c r="Q14" i="3"/>
  <c r="Q13" i="3"/>
  <c r="Q12" i="3"/>
  <c r="Q11" i="3"/>
  <c r="Q10" i="3"/>
  <c r="Q9" i="3"/>
  <c r="Q8" i="3"/>
  <c r="Q7" i="3"/>
  <c r="Q6" i="3"/>
  <c r="Q5" i="3"/>
  <c r="Q20" i="3"/>
  <c r="Q19" i="3"/>
  <c r="Q18" i="3"/>
  <c r="Q17" i="3"/>
  <c r="Q16" i="3"/>
  <c r="Q15" i="3"/>
  <c r="B5" i="5"/>
  <c r="B6" i="5" l="1"/>
  <c r="B7" i="5" s="1"/>
  <c r="B8" i="5"/>
  <c r="C36" i="1"/>
  <c r="B12" i="5" l="1"/>
  <c r="B13" i="5"/>
  <c r="B14" i="5"/>
  <c r="B15" i="5"/>
  <c r="B16" i="5"/>
  <c r="B9" i="5"/>
  <c r="C7" i="1" l="1"/>
  <c r="E7" i="1"/>
  <c r="F7" i="1" s="1"/>
  <c r="G7" i="1"/>
  <c r="H7" i="1" s="1"/>
  <c r="I7" i="1"/>
  <c r="J7" i="1" s="1"/>
  <c r="K7" i="1"/>
  <c r="L7" i="1" s="1"/>
  <c r="C13" i="1"/>
  <c r="E13" i="1"/>
  <c r="F13" i="1" s="1"/>
  <c r="G13" i="1"/>
  <c r="H13" i="1" s="1"/>
  <c r="I13" i="1"/>
  <c r="J13" i="1" s="1"/>
  <c r="K13" i="1"/>
  <c r="L13" i="1" s="1"/>
  <c r="C19" i="1"/>
  <c r="E19" i="1"/>
  <c r="F19" i="1" s="1"/>
  <c r="G19" i="1"/>
  <c r="H19" i="1" s="1"/>
  <c r="I19" i="1"/>
  <c r="J19" i="1" s="1"/>
  <c r="K19" i="1"/>
  <c r="L19" i="1" s="1"/>
  <c r="C25" i="1"/>
  <c r="E25" i="1"/>
  <c r="F25" i="1" s="1"/>
  <c r="G25" i="1"/>
  <c r="H25" i="1" s="1"/>
  <c r="I25" i="1"/>
  <c r="J25" i="1" s="1"/>
  <c r="K25" i="1"/>
  <c r="L25" i="1" s="1"/>
  <c r="C31" i="1"/>
  <c r="E31" i="1"/>
  <c r="F31" i="1" s="1"/>
  <c r="G31" i="1"/>
  <c r="H31" i="1" s="1"/>
  <c r="I31" i="1"/>
  <c r="J31" i="1" s="1"/>
  <c r="K31" i="1"/>
  <c r="L31" i="1" s="1"/>
  <c r="M2" i="1"/>
  <c r="C16" i="5"/>
  <c r="C15" i="5"/>
  <c r="C14" i="5"/>
  <c r="C13" i="5"/>
  <c r="C12" i="5"/>
  <c r="D7" i="1" l="1"/>
  <c r="M7" i="1"/>
  <c r="D13" i="1"/>
  <c r="D19" i="1"/>
  <c r="M19" i="1"/>
  <c r="D25" i="1"/>
  <c r="M25" i="1"/>
  <c r="D31" i="1"/>
  <c r="M31" i="1"/>
  <c r="D16" i="5"/>
  <c r="B30" i="1"/>
  <c r="C32" i="1"/>
  <c r="C33" i="1"/>
  <c r="E33" i="1"/>
  <c r="G33" i="1"/>
  <c r="I33" i="1"/>
  <c r="K33" i="1"/>
  <c r="C34" i="1"/>
  <c r="E34" i="1"/>
  <c r="G34" i="1"/>
  <c r="I34" i="1"/>
  <c r="K34" i="1"/>
  <c r="D15" i="5"/>
  <c r="K27" i="1"/>
  <c r="C28" i="1"/>
  <c r="E28" i="1"/>
  <c r="G28" i="1"/>
  <c r="I28" i="1"/>
  <c r="K28" i="1"/>
  <c r="B24" i="1"/>
  <c r="C26" i="1"/>
  <c r="C27" i="1"/>
  <c r="E27" i="1"/>
  <c r="G27" i="1"/>
  <c r="I27" i="1"/>
  <c r="D14" i="5"/>
  <c r="B18" i="1"/>
  <c r="C20" i="1"/>
  <c r="C21" i="1"/>
  <c r="E21" i="1"/>
  <c r="G21" i="1"/>
  <c r="I21" i="1"/>
  <c r="K21" i="1"/>
  <c r="C22" i="1"/>
  <c r="E22" i="1"/>
  <c r="G22" i="1"/>
  <c r="I22" i="1"/>
  <c r="K22" i="1"/>
  <c r="D13" i="5"/>
  <c r="C14" i="1"/>
  <c r="C15" i="1"/>
  <c r="E15" i="1"/>
  <c r="G15" i="1"/>
  <c r="I15" i="1"/>
  <c r="K15" i="1"/>
  <c r="C16" i="1"/>
  <c r="E16" i="1"/>
  <c r="G16" i="1"/>
  <c r="D12" i="5"/>
  <c r="G9" i="1"/>
  <c r="K9" i="1"/>
  <c r="E10" i="1"/>
  <c r="K10" i="1"/>
  <c r="B6" i="1"/>
  <c r="C8" i="1"/>
  <c r="E9" i="1"/>
  <c r="I9" i="1"/>
  <c r="C10" i="1"/>
  <c r="G10" i="1"/>
  <c r="I10" i="1"/>
  <c r="B12" i="1" l="1"/>
  <c r="I16" i="1"/>
  <c r="M13" i="1" s="1"/>
  <c r="K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2" authorId="0" shapeId="0" xr:uid="{00000000-0006-0000-0000-000001000000}">
      <text>
        <r>
          <rPr>
            <sz val="10"/>
            <rFont val="Arial"/>
            <family val="2"/>
          </rPr>
          <t>Solo aplica cuando el mes tiene 5 semanas: qué plan (2 o 3) usar en la 4ª semana. La última semana siempre usa el Plan 4 (recepción).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3" authorId="0" shapeId="0" xr:uid="{00000000-0006-0000-0400-000001000000}">
      <text>
        <r>
          <rPr>
            <sz val="10"/>
            <rFont val="Arial"/>
            <family val="2"/>
          </rPr>
          <t>Feriados en días hábiles precargados (verificar en feriados.cl). Agrega más fechas en esta columna: el Calendario las marca en rojo.</t>
        </r>
      </text>
    </comment>
  </commentList>
</comments>
</file>

<file path=xl/sharedStrings.xml><?xml version="1.0" encoding="utf-8"?>
<sst xmlns="http://schemas.openxmlformats.org/spreadsheetml/2006/main" count="684" uniqueCount="267">
  <si>
    <t>Mes:</t>
  </si>
  <si>
    <t>Noviembre</t>
  </si>
  <si>
    <t>Año:</t>
  </si>
  <si>
    <t>Plan 4ª semana (mes de 5 sem.):</t>
  </si>
  <si>
    <t>Leyenda</t>
  </si>
  <si>
    <t>REC · Recepción, pedidos y distribución</t>
  </si>
  <si>
    <t>TEM · Temperatura y humedad (T° y HR)</t>
  </si>
  <si>
    <t>INV · Inventario y vencimientos</t>
  </si>
  <si>
    <t>CTR · Estupefacientes y psicotrópicos</t>
  </si>
  <si>
    <t>CAL · Calidad / BPAD / procedimientos</t>
  </si>
  <si>
    <t>REG · Farmacovigilancia y autoridad sanitaria</t>
  </si>
  <si>
    <t>ADM · Administrativo y finanzas</t>
  </si>
  <si>
    <t>EQP · Equipo, coordinación y capacitación</t>
  </si>
  <si>
    <t>Fecha de mes contiguo</t>
  </si>
  <si>
    <t>Feriado</t>
  </si>
  <si>
    <t>Avance</t>
  </si>
  <si>
    <t>Fecha</t>
  </si>
  <si>
    <t>Todos los días</t>
  </si>
  <si>
    <t>AM</t>
  </si>
  <si>
    <t>PM</t>
  </si>
  <si>
    <t>Periódicas
del mes</t>
  </si>
  <si>
    <t>PLAN SEMANAL TIPO – QUÍMICO FARMACÉUTICO DROGUERÍA</t>
  </si>
  <si>
    <t>Edita aquí las tareas; el Calendario las toma automáticamente. Escribe cada tarea como  CÓDIGO · tarea  (ej.: CTR · Revisión de libro). El código de 3 letras le da el color. Semanas 1 y 4 = alta recepción: se dejan espacios libres.</t>
  </si>
  <si>
    <t>SEMANA 1</t>
  </si>
  <si>
    <t>RECEPCIÓN CENABAST / CRÍTICOS Y PE LISTOS</t>
  </si>
  <si>
    <t>Lunes</t>
  </si>
  <si>
    <t>Martes</t>
  </si>
  <si>
    <t>Miércoles</t>
  </si>
  <si>
    <t>Jueves</t>
  </si>
  <si>
    <t>Viernes</t>
  </si>
  <si>
    <t>T° y HR AM/PM en bodegas · Recepción técnica y liberación de cuarentena · Revisión de alertas ISP / retiros del mercado</t>
  </si>
  <si>
    <t>TEM · Bajar info Data Logger / Revisión QFs: T° y H% aplicar CAPAs</t>
  </si>
  <si>
    <t>INV · Segregar vencidos + correo sobrestock (HPM-SSDR-SAR-SAPU)</t>
  </si>
  <si>
    <t>REC · Críticos + PE</t>
  </si>
  <si>
    <t>EQP · QF Programas / QF Droguería</t>
  </si>
  <si>
    <t>ADM · Guía N399</t>
  </si>
  <si>
    <t>CTR · Cuadratura física de estupefacientes y psicotrópicos (cierre mes anterior)</t>
  </si>
  <si>
    <t>REC · No conformidades de recepción (faltantes, daños, T° fuera de rango) → reclamo a CENABAST/proveedor</t>
  </si>
  <si>
    <t>ADM · Facturas firmadas listas para Finanzas</t>
  </si>
  <si>
    <t>EQP · Programación 2 QF</t>
  </si>
  <si>
    <t>CAL · Actualizar procedimientos</t>
  </si>
  <si>
    <t>SEMANA 2</t>
  </si>
  <si>
    <t>GESTIÓN SANITARIA: CONTROLADOS, VENCIMIENTOS Y FARMACOVIGILANCIA</t>
  </si>
  <si>
    <t>T° y HR AM/PM en bodegas · Revisión y firma de despachos · Revisión de alertas ISP / retiros del mercado · Custodia de bodega de controlados</t>
  </si>
  <si>
    <t>CTR · Revisión de libro de controlados</t>
  </si>
  <si>
    <t>INV · Próximos a vencer (3–6 meses): semáforo y propuesta de redistribución</t>
  </si>
  <si>
    <t>CAL · Revisión de desviaciones, reclamos, devoluciones y estado de CAPAs</t>
  </si>
  <si>
    <t>REG · Farmacovigilancia y tecnovigilancia: revisar y notificar RAM / fallas de calidad al ISP</t>
  </si>
  <si>
    <t>CTR · Archivo de documentación de controlados e informes a la autoridad sanitaria (según periodicidad vigente)</t>
  </si>
  <si>
    <t>REC · Hacer PE + ET + AG/CM/SE</t>
  </si>
  <si>
    <t>REC · Críticos + PE / Programación 2 QF</t>
  </si>
  <si>
    <t>EQP · Capacitación mensual al personal (BPAD, control de T° y HR, derrames, controlados) + registro de asistencia</t>
  </si>
  <si>
    <t>SEMANA 3</t>
  </si>
  <si>
    <t>CALIDAD, INVENTARIO Y PLANIFICACIÓN DE RECEPCIÓN</t>
  </si>
  <si>
    <t>INV · Inventario cíclico (alta rotación / alto costo) y ajustes en sistema</t>
  </si>
  <si>
    <t>INV · Correo sobrestock (HPM-SSDR-SAR-SAPU)</t>
  </si>
  <si>
    <t>CAL · Verificar registros de limpieza y control de plagas (certificados vigentes)</t>
  </si>
  <si>
    <t>TEM · Equipos: calibración de data loggers/termómetros, mantención de equipos de AC, prueba de alarmas</t>
  </si>
  <si>
    <t>CAL · Autoinspección BPAD por área (rotativa): orden, rotulación, segregación, FEFO</t>
  </si>
  <si>
    <t>EQP · 16:00 a 17:00 reunión Equipo Droguería</t>
  </si>
  <si>
    <t>REC · Planificar recepciones semanas 4 y 1: espacio, personal, control de T°/HR y agenda CENABAST</t>
  </si>
  <si>
    <t>ADM · Indicadores del mes: quiebres de stock, mermas, excursiones de T°, cumplimiento de despachos</t>
  </si>
  <si>
    <t>SEMANA 4</t>
  </si>
  <si>
    <t>RECEPCIÓN DE CENABAST</t>
  </si>
  <si>
    <t>REC · Recepción CENABAST: inspección de lotes, vencimientos, T° de transporte y documentación</t>
  </si>
  <si>
    <t>CAL · Liberar cuarentena pendiente y verificar ubicación/rotulación (FEFO)</t>
  </si>
  <si>
    <t>TEM · Vigilar T° y HR de bodegas durante la recepción (puertas abiertas, sobreocupación) y aplicar CAPA si hay excursión</t>
  </si>
  <si>
    <t>ADM · Cierre de mes: guías, documentos de despacho y stock cuadrados</t>
  </si>
  <si>
    <t>TAREAS PERIÓDICAS (TRIMESTRALES, SEMESTRALES Y ANUALES)</t>
  </si>
  <si>
    <t>Marca con X el mes en que corresponde. Meses sugeridos: ajústalos. El mes elegido en el Calendario se resalta.</t>
  </si>
  <si>
    <t>Código</t>
  </si>
  <si>
    <t>Tarea</t>
  </si>
  <si>
    <t>Frecuencia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</si>
  <si>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</si>
  <si>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</si>
  <si>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</si>
  <si>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</si>
  <si>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</si>
  <si>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</si>
  <si>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</si>
  <si>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</si>
  <si>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</si>
  <si>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</si>
  <si>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</si>
  <si>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</si>
  <si>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TEM</t>
  </si>
  <si>
    <t>Mapeo térmico Bodega 4 (verano / invierno)</t>
  </si>
  <si>
    <t>Semestral</t>
  </si>
  <si>
    <t>X</t>
  </si>
  <si>
    <t>Calibración / verificación de data loggers y termómetros</t>
  </si>
  <si>
    <t>Anual</t>
  </si>
  <si>
    <t>Mantención preventiva de equipos de AC de bodegas</t>
  </si>
  <si>
    <t>Simulacro plan de contingencia de T°/HR (corte de energía / falla de AC)</t>
  </si>
  <si>
    <t>INV</t>
  </si>
  <si>
    <t>Eliminación de vencidos y mermas mediante empresa autorizada</t>
  </si>
  <si>
    <t>CTR</t>
  </si>
  <si>
    <t>Destrucción de controlados vencidos/deteriorados (solicitud y acta ante autoridad sanitaria)</t>
  </si>
  <si>
    <t>Inventario general (toma total de inventario)</t>
  </si>
  <si>
    <t>CAL</t>
  </si>
  <si>
    <t>Autoinspección integral BPAD (todas las áreas) + informe</t>
  </si>
  <si>
    <t>Evaluación de proveedores y transportistas</t>
  </si>
  <si>
    <t>Revisión del listado maestro de procedimientos (vigencias y versiones)</t>
  </si>
  <si>
    <t>EQP</t>
  </si>
  <si>
    <t>Programa anual de capacitación: planificar (ene) / evaluar cumplimiento (dic)</t>
  </si>
  <si>
    <t>ADM</t>
  </si>
  <si>
    <t>Carpeta documental: autorización sanitaria, dirección técnica, certificados vigentes</t>
  </si>
  <si>
    <t>DETALLE DE TAREAS, EVIDENCIA Y RESPALDO NORMATIVO</t>
  </si>
  <si>
    <t>Referencia del plan tipo (la hoja Plan semanal es la que manda). Origen = Original (ya estaba en tu planilla) o Nueva (agregada). Referencias normativas sugeridas: verificar vigencia.</t>
  </si>
  <si>
    <t>Semana</t>
  </si>
  <si>
    <t>Día</t>
  </si>
  <si>
    <t>Bloque</t>
  </si>
  <si>
    <t>Tipo de tarea</t>
  </si>
  <si>
    <t>Origen</t>
  </si>
  <si>
    <t>Registro / evidencia</t>
  </si>
  <si>
    <t>Referencia sugerida</t>
  </si>
  <si>
    <t>Todas</t>
  </si>
  <si>
    <t>Lun a Vie</t>
  </si>
  <si>
    <t>Diario</t>
  </si>
  <si>
    <t>Temperatura y humedad (T° y HR)</t>
  </si>
  <si>
    <t>Registro de T° y HR AM/PM en bodegas; revisión de alarmas</t>
  </si>
  <si>
    <t>Nueva</t>
  </si>
  <si>
    <t>Planilla de T° / data logger</t>
  </si>
  <si>
    <t>NT 147 BPAD</t>
  </si>
  <si>
    <t>1 y 4</t>
  </si>
  <si>
    <t>REC</t>
  </si>
  <si>
    <t>Recepción, pedidos y distribución</t>
  </si>
  <si>
    <t>Recepción técnica y liberación de cuarentena por QF</t>
  </si>
  <si>
    <t>Acta de recepción / liberación</t>
  </si>
  <si>
    <t>2 y 3</t>
  </si>
  <si>
    <t>Revisión y firma de despachos</t>
  </si>
  <si>
    <t>Guías firmadas</t>
  </si>
  <si>
    <t>REG</t>
  </si>
  <si>
    <t>Farmacovigilancia y autoridad sanitaria</t>
  </si>
  <si>
    <t>Revisión de alertas ISP / retiros del mercado (y acción inmediata si afecta stock)</t>
  </si>
  <si>
    <t>Registro de alertas revisadas</t>
  </si>
  <si>
    <t>DS 3/2010</t>
  </si>
  <si>
    <t>Estupefacientes y psicotrópicos</t>
  </si>
  <si>
    <t>Custodia de bodega de controlados (llaves, acceso restringido)</t>
  </si>
  <si>
    <t>DS 404 / DS 405</t>
  </si>
  <si>
    <t>1</t>
  </si>
  <si>
    <t>Bajar info Data Logger / Revisión QFs: T° y H% aplicar CAPAs</t>
  </si>
  <si>
    <t>Original</t>
  </si>
  <si>
    <t>Informe data logger + CAPA</t>
  </si>
  <si>
    <t>Cuadratura física de estupefacientes y psicotrópicos (cierre mes anterior)</t>
  </si>
  <si>
    <t>Acta de cuadratura firmada</t>
  </si>
  <si>
    <t>Inventario y vencimientos</t>
  </si>
  <si>
    <t>Segregar vencidos + correo sobrestock (HPM-SSDR-SAR-SAPU)</t>
  </si>
  <si>
    <t>Registro de segregación / correo</t>
  </si>
  <si>
    <t>No conformidades de recepción (faltantes, daños, T° fuera de rango) → reclamo a CENABAST/proveedor</t>
  </si>
  <si>
    <t>Registro de no conformidad / correo de reclamo</t>
  </si>
  <si>
    <t>NT 147 BPAD (recepción)</t>
  </si>
  <si>
    <t>Críticos + PE</t>
  </si>
  <si>
    <t>Pedido de críticos y PE</t>
  </si>
  <si>
    <t>Administrativo y finanzas</t>
  </si>
  <si>
    <t>Facturas firmadas listas para Finanzas</t>
  </si>
  <si>
    <t>Facturas firmadas / registro de entrega</t>
  </si>
  <si>
    <t>Equipo, coordinación y capacitación</t>
  </si>
  <si>
    <t>QF Programas / QF Droguería</t>
  </si>
  <si>
    <t>Programación 2 QF</t>
  </si>
  <si>
    <t>Guía N399</t>
  </si>
  <si>
    <t>Calidad / BPAD / procedimientos</t>
  </si>
  <si>
    <t>Actualizar procedimientos</t>
  </si>
  <si>
    <t>Procedimientos DRORED versionados</t>
  </si>
  <si>
    <t>2</t>
  </si>
  <si>
    <t>Revisión de libro de controlados</t>
  </si>
  <si>
    <t>Libro oficial visado</t>
  </si>
  <si>
    <t>Archivo de documentación de controlados e informes a la autoridad sanitaria (según periodicidad vigente)</t>
  </si>
  <si>
    <t>Informe enviado / archivo</t>
  </si>
  <si>
    <t>Próximos a vencer (3–6 meses): semáforo y propuesta de redistribución</t>
  </si>
  <si>
    <t>Listado de próximos a vencer</t>
  </si>
  <si>
    <t>NT 147 BPAD (FEFO)</t>
  </si>
  <si>
    <t>Hacer PE + ET + AG/CM/SE</t>
  </si>
  <si>
    <t>Revisión de desviaciones, reclamos, devoluciones y estado de CAPAs</t>
  </si>
  <si>
    <t>Registro de desviaciones / CAPA</t>
  </si>
  <si>
    <t>Farmacovigilancia y tecnovigilancia: revisar y notificar RAM / fallas de calidad al ISP</t>
  </si>
  <si>
    <t>Notificaciones ISP / registro interno</t>
  </si>
  <si>
    <t>DS 3/2010 · NT 140</t>
  </si>
  <si>
    <t>Críticos + PE / Programación 2 QF</t>
  </si>
  <si>
    <t>Capacitación mensual al personal (BPAD, control de T° y HR, derrames, controlados) + registro de asistencia</t>
  </si>
  <si>
    <t>Registro de asistencia</t>
  </si>
  <si>
    <t>NT 147 BPAD (personal)</t>
  </si>
  <si>
    <t>3</t>
  </si>
  <si>
    <t>Inventario cíclico (alta rotación / alto costo) y ajustes en sistema</t>
  </si>
  <si>
    <t>Acta de inventario / ajustes</t>
  </si>
  <si>
    <t>Autoinspección BPAD por área (rotativa): orden, rotulación, segregación, FEFO</t>
  </si>
  <si>
    <t>Pauta de autoinspección</t>
  </si>
  <si>
    <t>NT 147 BPAD (autoinspección)</t>
  </si>
  <si>
    <t>Correo sobrestock (HPM-SSDR-SAR-SAPU)</t>
  </si>
  <si>
    <t>Correo enviado</t>
  </si>
  <si>
    <t>16:00 a 17:00 reunión Equipo Droguería</t>
  </si>
  <si>
    <t>Acta de reunión</t>
  </si>
  <si>
    <t>Verificar registros de limpieza y control de plagas (certificados vigentes)</t>
  </si>
  <si>
    <t>Planilla de limpieza / certificado</t>
  </si>
  <si>
    <t>Equipos: calibración de data loggers/termómetros, mantención de equipos de AC, prueba de alarmas</t>
  </si>
  <si>
    <t>Certificados / registro de mantención</t>
  </si>
  <si>
    <t>Planificar recepciones semanas 4 y 1: espacio, personal, control de T°/HR y agenda CENABAST</t>
  </si>
  <si>
    <t>Plan de recepción</t>
  </si>
  <si>
    <t>Indicadores del mes: quiebres de stock, mermas, excursiones de T°, cumplimiento de despachos</t>
  </si>
  <si>
    <t>Reporte de indicadores</t>
  </si>
  <si>
    <t>4</t>
  </si>
  <si>
    <t>Recepción CENABAST: inspección de lotes, vencimientos, T° de transporte y documentación</t>
  </si>
  <si>
    <t>Acta de recepción técnica</t>
  </si>
  <si>
    <t>Vigilar T° y HR de bodegas durante la recepción (puertas abiertas, sobreocupación) y aplicar CAPA si hay excursión</t>
  </si>
  <si>
    <t>Registro de T°</t>
  </si>
  <si>
    <t>Liberar cuarentena pendiente y verificar ubicación/rotulación (FEFO)</t>
  </si>
  <si>
    <t>Registro de liberación</t>
  </si>
  <si>
    <t>Cierre de mes: guías, documentos de despacho y stock cuadrados</t>
  </si>
  <si>
    <t>Respaldo de cierre</t>
  </si>
  <si>
    <t>CONFIGURACIÓN Y LISTAS</t>
  </si>
  <si>
    <t>Cálculos automáticos (no editar)</t>
  </si>
  <si>
    <t>Meses</t>
  </si>
  <si>
    <t>Feriados (fecha)</t>
  </si>
  <si>
    <t>Descripción</t>
  </si>
  <si>
    <t>Mes (número)</t>
  </si>
  <si>
    <t>Enero</t>
  </si>
  <si>
    <t>Inmaculada Concepción</t>
  </si>
  <si>
    <t>Primer día del mes</t>
  </si>
  <si>
    <t>Febrero</t>
  </si>
  <si>
    <t>Navidad</t>
  </si>
  <si>
    <t>Día de la semana del 1° (1=lunes)</t>
  </si>
  <si>
    <t>Marzo</t>
  </si>
  <si>
    <t>Año Nuevo</t>
  </si>
  <si>
    <t>Lunes de la semana 1</t>
  </si>
  <si>
    <t>Abril</t>
  </si>
  <si>
    <t>Viernes Santo</t>
  </si>
  <si>
    <t>Último día del mes</t>
  </si>
  <si>
    <t>Mayo</t>
  </si>
  <si>
    <t>Glorias Navales</t>
  </si>
  <si>
    <t>N° de semanas del mes</t>
  </si>
  <si>
    <t>Junio</t>
  </si>
  <si>
    <t>Día de los Pueblos Indígenas</t>
  </si>
  <si>
    <t>Julio</t>
  </si>
  <si>
    <t>San Pedro y San Pablo</t>
  </si>
  <si>
    <t>Existe</t>
  </si>
  <si>
    <t>Plan aplicado</t>
  </si>
  <si>
    <t>Agosto</t>
  </si>
  <si>
    <t>Virgen del Carmen</t>
  </si>
  <si>
    <t>Septiembre</t>
  </si>
  <si>
    <t>Encuentro de Dos Mundos</t>
  </si>
  <si>
    <t>Octubre</t>
  </si>
  <si>
    <t>Todos los Santos</t>
  </si>
  <si>
    <t>Diciembre</t>
  </si>
  <si>
    <t>Regla: 1ª semana = Plan 1 · última semana = Plan 4 · intermedias = Plan 2 y 3. En meses de 5 semanas, la 4ª usa el plan elegido en Calendario!K2.</t>
  </si>
  <si>
    <t>Cada semana (lun–vie) pertenece al mes que contiene su miércoles (≥3 días hábiles). Así, un lunes 30 puede quedar como Semana 1 del mes siguiente.</t>
  </si>
  <si>
    <t>CÓMO USAR</t>
  </si>
  <si>
    <t>1. En la hoja Calendario elige Mes y Año (celdas amarillas). Las fechas, semanas y tareas se ajustan solas.</t>
  </si>
  <si>
    <t>2. Marca cada tarea en su columna ✓ con ✓ (hecha), ✗ (no hecha) o N/A. El avance semanal se calcula solo. Borra las marcas al iniciar un mes nuevo.</t>
  </si>
  <si>
    <t>3. Para cambiar o agregar tareas, edita la hoja Plan semanal (formato  CÓDIGO · tarea). No edites el Calendario directamente: sus tareas son fórmulas.</t>
  </si>
  <si>
    <t>4. Fechas en rojo = feriado (sus tareas quedan en gris y no cuentan en el avance: reprogramarlas). Fechas en cursiva = día de un mes contiguo que igual pertenece a esta planificación.</t>
  </si>
  <si>
    <t>5. Las tareas trimestrales/semestrales/anuales están en la hoja Periódicas y aparecen al pie del Calendario en su mes.</t>
  </si>
  <si>
    <t></t>
  </si>
  <si>
    <t>AM: Bajar Info Data Logger / Revisión QFs: T° y H% aplicar CAPAs</t>
  </si>
  <si>
    <t>AM: segregar vencidos + correo sobrestock (HPM-SSDR-SAR-SAPU)</t>
  </si>
  <si>
    <t>AM: CRITICOS + PE</t>
  </si>
  <si>
    <t xml:space="preserve"> QF PROGRAMAS/ QF DROGUERÍA</t>
  </si>
  <si>
    <t>GUÍA N399 </t>
  </si>
  <si>
    <t xml:space="preserve">  PM: FACTURAS FIRMADAS LISTAS PARA FINANZAS</t>
  </si>
  <si>
    <t xml:space="preserve"> PROGRAMACIÓN 2 QF</t>
  </si>
  <si>
    <t xml:space="preserve">PM: Actualizar procedimientos </t>
  </si>
  <si>
    <t>AM: REVISIÓN DE LIBRO CONTROLADOS</t>
  </si>
  <si>
    <t>AM: Actualizar procedimientos </t>
  </si>
  <si>
    <t>PM: Hacer PE + ET + AG/CM/SE</t>
  </si>
  <si>
    <t>PM: FACTURAS FIRMADAS LISTAS PARA FINANZAS</t>
  </si>
  <si>
    <t>CRITICOS + PE / PROGRAMACIÓN 2 QF</t>
  </si>
  <si>
    <t>am: correo sobrestock (HPM-SSDR-SAR-SAPU)</t>
  </si>
  <si>
    <t>PM: 16:00 a 17:00  reunión Equipo Droguería</t>
  </si>
  <si>
    <t>CRITICOS + PE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</si>
</sst>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40A]dddd\ dd/mm"/>
    <numFmt numFmtId="165" formatCode="\✓"/>
  </numFmts>
  <fonts count="26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5"/>
      <color rgb="FFFFFFFF"/>
      <name val="Arial"/>
      <family val="2"/>
    </font>
    <font>
      <b/>
      <sz val="10"/>
      <name val="Arial"/>
      <family val="2"/>
    </font>
    <font>
      <b/>
      <sz val="11"/>
      <color rgb="FF0000FF"/>
      <name val="Arial"/>
      <family val="2"/>
    </font>
    <font>
      <i/>
      <sz val="9"/>
      <color rgb="FF595959"/>
      <name val="Arial"/>
      <family val="2"/>
    </font>
    <font>
      <b/>
      <sz val="9"/>
      <name val="Arial"/>
      <family val="2"/>
    </font>
    <font>
      <b/>
      <sz val="8"/>
      <color rgb="FF000000"/>
      <name val="Arial"/>
      <family val="2"/>
    </font>
    <font>
      <i/>
      <sz val="8"/>
      <color rgb="FFA6A6A6"/>
      <name val="Arial"/>
      <family val="2"/>
    </font>
    <font>
      <sz val="8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4"/>
      <color rgb="FF1F3864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10"/>
      <color rgb="FF0000FF"/>
      <name val="Arial"/>
      <family val="2"/>
    </font>
    <font>
      <b/>
      <sz val="9"/>
      <color rgb="FFC65911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1"/>
      <color rgb="FF1F3864"/>
      <name val="Arial"/>
      <family val="2"/>
    </font>
    <font>
      <sz val="15"/>
      <color rgb="FF242424"/>
      <name val="FluentSystemIcons"/>
      <charset val="1"/>
    </font>
    <font>
      <b/>
      <sz val="12"/>
      <color rgb="FF000000"/>
      <name val="Inherit"/>
      <charset val="1"/>
    </font>
    <font>
      <b/>
      <sz val="14"/>
      <color rgb="FF000000"/>
      <name val="Inherit"/>
      <charset val="1"/>
    </font>
    <font>
      <sz val="12"/>
      <color rgb="FF000000"/>
      <name val="Inherit"/>
      <charset val="1"/>
    </font>
    <font>
      <sz val="12"/>
      <color rgb="FF000000"/>
      <name val="Candara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242424"/>
      </patternFill>
    </fill>
    <fill>
      <patternFill patternType="solid">
        <fgColor rgb="FFFFF2CC"/>
        <bgColor rgb="FFFCE4D6"/>
      </patternFill>
    </fill>
    <fill>
      <patternFill patternType="solid">
        <fgColor rgb="FFFCD5B4"/>
        <bgColor rgb="FFF8CBAD"/>
      </patternFill>
    </fill>
    <fill>
      <patternFill patternType="solid">
        <fgColor rgb="FFBDD7EE"/>
        <bgColor rgb="FFD9D9D9"/>
      </patternFill>
    </fill>
    <fill>
      <patternFill patternType="solid">
        <fgColor rgb="FFFFE699"/>
        <bgColor rgb="FFFCD5B4"/>
      </patternFill>
    </fill>
    <fill>
      <patternFill patternType="solid">
        <fgColor rgb="FFD9C3E9"/>
        <bgColor rgb="FFD9D9D9"/>
      </patternFill>
    </fill>
    <fill>
      <patternFill patternType="solid">
        <fgColor rgb="FFC6E0B4"/>
        <bgColor rgb="FFD9D9D9"/>
      </patternFill>
    </fill>
    <fill>
      <patternFill patternType="solid">
        <fgColor rgb="FFF4B6C2"/>
        <bgColor rgb="FFF8CBAD"/>
      </patternFill>
    </fill>
    <fill>
      <patternFill patternType="solid">
        <fgColor rgb="FFC9ECE6"/>
        <bgColor rgb="FFD9D9D9"/>
      </patternFill>
    </fill>
    <fill>
      <patternFill patternType="solid">
        <fgColor rgb="FFEAD9C3"/>
        <bgColor rgb="FFFCD5B4"/>
      </patternFill>
    </fill>
    <fill>
      <patternFill patternType="solid">
        <fgColor rgb="FFF2F2F2"/>
        <bgColor rgb="FFEDEDED"/>
      </patternFill>
    </fill>
    <fill>
      <patternFill patternType="solid">
        <fgColor rgb="FFC00000"/>
        <bgColor rgb="FF800000"/>
      </patternFill>
    </fill>
    <fill>
      <patternFill patternType="solid">
        <fgColor rgb="FF2F5597"/>
        <bgColor rgb="FF1F3864"/>
      </patternFill>
    </fill>
    <fill>
      <patternFill patternType="solid">
        <fgColor rgb="FFD9D9D9"/>
        <bgColor rgb="FFEAD9C3"/>
      </patternFill>
    </fill>
    <fill>
      <patternFill patternType="solid">
        <fgColor rgb="FFEAF1FB"/>
        <bgColor rgb="FFF2F2F2"/>
      </patternFill>
    </fill>
    <fill>
      <patternFill patternType="solid">
        <fgColor rgb="FFC65911"/>
        <bgColor rgb="FF993300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2F2F2"/>
      </patternFill>
    </fill>
  </fills>
  <borders count="11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0" borderId="0" xfId="0" applyFont="1" applyAlignment="1">
      <alignment horizontal="right" vertical="center"/>
    </xf>
    <xf numFmtId="0" fontId="5" fillId="0" borderId="0" xfId="0" applyFont="1"/>
    <xf numFmtId="0" fontId="12" fillId="2" borderId="0" xfId="0" applyFont="1" applyFill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164" fontId="3" fillId="15" borderId="2" xfId="0" applyNumberFormat="1" applyFont="1" applyFill="1" applyBorder="1" applyAlignment="1">
      <alignment horizontal="center" vertical="center" wrapText="1"/>
    </xf>
    <xf numFmtId="165" fontId="3" fillId="15" borderId="2" xfId="0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top" wrapText="1"/>
    </xf>
    <xf numFmtId="0" fontId="16" fillId="0" borderId="2" xfId="0" applyFont="1" applyBorder="1" applyAlignment="1">
      <alignment horizontal="center" vertical="center" wrapText="1"/>
    </xf>
    <xf numFmtId="0" fontId="13" fillId="0" borderId="0" xfId="0" applyFont="1"/>
    <xf numFmtId="0" fontId="3" fillId="1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0" fillId="0" borderId="2" xfId="0" applyBorder="1"/>
    <xf numFmtId="0" fontId="15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3" fillId="0" borderId="0" xfId="0" applyFont="1"/>
    <xf numFmtId="0" fontId="11" fillId="2" borderId="0" xfId="0" applyFont="1" applyFill="1"/>
    <xf numFmtId="0" fontId="11" fillId="13" borderId="0" xfId="0" applyFont="1" applyFill="1"/>
    <xf numFmtId="0" fontId="18" fillId="0" borderId="0" xfId="0" applyFont="1"/>
    <xf numFmtId="1" fontId="18" fillId="12" borderId="0" xfId="0" applyNumberFormat="1" applyFont="1" applyFill="1"/>
    <xf numFmtId="0" fontId="3" fillId="4" borderId="0" xfId="0" applyFont="1" applyFill="1" applyAlignment="1">
      <alignment horizontal="center" vertical="center" wrapText="1"/>
    </xf>
    <xf numFmtId="0" fontId="18" fillId="4" borderId="0" xfId="0" applyFont="1" applyFill="1"/>
    <xf numFmtId="14" fontId="19" fillId="0" borderId="0" xfId="0" applyNumberFormat="1" applyFont="1"/>
    <xf numFmtId="0" fontId="19" fillId="0" borderId="0" xfId="0" applyFont="1"/>
    <xf numFmtId="14" fontId="18" fillId="12" borderId="0" xfId="0" applyNumberFormat="1" applyFont="1" applyFill="1"/>
    <xf numFmtId="0" fontId="3" fillId="5" borderId="0" xfId="0" applyFont="1" applyFill="1" applyAlignment="1">
      <alignment horizontal="center" vertical="center" wrapText="1"/>
    </xf>
    <xf numFmtId="0" fontId="18" fillId="5" borderId="0" xfId="0" applyFont="1" applyFill="1"/>
    <xf numFmtId="0" fontId="3" fillId="6" borderId="0" xfId="0" applyFont="1" applyFill="1" applyAlignment="1">
      <alignment horizontal="center" vertical="center" wrapText="1"/>
    </xf>
    <xf numFmtId="0" fontId="18" fillId="6" borderId="0" xfId="0" applyFont="1" applyFill="1"/>
    <xf numFmtId="0" fontId="3" fillId="7" borderId="0" xfId="0" applyFont="1" applyFill="1" applyAlignment="1">
      <alignment horizontal="center" vertical="center" wrapText="1"/>
    </xf>
    <xf numFmtId="0" fontId="18" fillId="7" borderId="0" xfId="0" applyFont="1" applyFill="1"/>
    <xf numFmtId="0" fontId="3" fillId="8" borderId="0" xfId="0" applyFont="1" applyFill="1" applyAlignment="1">
      <alignment horizontal="center" vertical="center" wrapText="1"/>
    </xf>
    <xf numFmtId="0" fontId="18" fillId="8" borderId="0" xfId="0" applyFont="1" applyFill="1"/>
    <xf numFmtId="0" fontId="3" fillId="9" borderId="0" xfId="0" applyFont="1" applyFill="1" applyAlignment="1">
      <alignment horizontal="center" vertical="center" wrapText="1"/>
    </xf>
    <xf numFmtId="0" fontId="18" fillId="9" borderId="0" xfId="0" applyFont="1" applyFill="1"/>
    <xf numFmtId="0" fontId="3" fillId="10" borderId="0" xfId="0" applyFont="1" applyFill="1" applyAlignment="1">
      <alignment horizontal="center" vertical="center" wrapText="1"/>
    </xf>
    <xf numFmtId="0" fontId="18" fillId="10" borderId="0" xfId="0" applyFont="1" applyFill="1"/>
    <xf numFmtId="0" fontId="3" fillId="11" borderId="0" xfId="0" applyFont="1" applyFill="1" applyAlignment="1">
      <alignment horizontal="center" vertical="center" wrapText="1"/>
    </xf>
    <xf numFmtId="0" fontId="18" fillId="11" borderId="0" xfId="0" applyFont="1" applyFill="1"/>
    <xf numFmtId="0" fontId="18" fillId="12" borderId="0" xfId="0" applyFont="1" applyFill="1"/>
    <xf numFmtId="0" fontId="20" fillId="0" borderId="0" xfId="0" applyFont="1"/>
    <xf numFmtId="0" fontId="15" fillId="0" borderId="0" xfId="0" applyFont="1"/>
    <xf numFmtId="0" fontId="21" fillId="0" borderId="0" xfId="0" applyFont="1" applyAlignment="1">
      <alignment vertical="center" wrapText="1"/>
    </xf>
    <xf numFmtId="0" fontId="22" fillId="19" borderId="5" xfId="0" applyFont="1" applyFill="1" applyBorder="1" applyAlignment="1">
      <alignment horizontal="center" vertical="center"/>
    </xf>
    <xf numFmtId="0" fontId="22" fillId="19" borderId="6" xfId="0" applyFont="1" applyFill="1" applyBorder="1" applyAlignment="1">
      <alignment horizontal="center" vertical="center"/>
    </xf>
    <xf numFmtId="0" fontId="22" fillId="19" borderId="7" xfId="0" applyFont="1" applyFill="1" applyBorder="1" applyAlignment="1">
      <alignment horizontal="center" vertical="center"/>
    </xf>
    <xf numFmtId="0" fontId="24" fillId="19" borderId="6" xfId="0" applyFont="1" applyFill="1" applyBorder="1" applyAlignment="1">
      <alignment horizontal="center" vertical="center" wrapText="1"/>
    </xf>
    <xf numFmtId="0" fontId="25" fillId="19" borderId="8" xfId="0" applyFont="1" applyFill="1" applyBorder="1" applyAlignment="1">
      <alignment horizontal="center" vertical="center" wrapText="1"/>
    </xf>
    <xf numFmtId="0" fontId="24" fillId="19" borderId="5" xfId="0" applyFont="1" applyFill="1" applyBorder="1" applyAlignment="1">
      <alignment horizontal="center" vertical="center"/>
    </xf>
    <xf numFmtId="0" fontId="25" fillId="19" borderId="5" xfId="0" applyFont="1" applyFill="1" applyBorder="1" applyAlignment="1">
      <alignment horizontal="center" vertical="center" wrapText="1"/>
    </xf>
    <xf numFmtId="0" fontId="24" fillId="19" borderId="6" xfId="0" applyFont="1" applyFill="1" applyBorder="1" applyAlignment="1">
      <alignment horizontal="center" vertical="center"/>
    </xf>
    <xf numFmtId="0" fontId="25" fillId="19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2" fillId="19" borderId="0" xfId="0" applyFont="1" applyFill="1" applyAlignment="1">
      <alignment horizontal="center" vertical="center"/>
    </xf>
    <xf numFmtId="0" fontId="24" fillId="19" borderId="5" xfId="0" applyFont="1" applyFill="1" applyBorder="1" applyAlignment="1">
      <alignment vertical="center" wrapText="1"/>
    </xf>
    <xf numFmtId="0" fontId="0" fillId="0" borderId="5" xfId="0" applyBorder="1"/>
    <xf numFmtId="0" fontId="25" fillId="19" borderId="7" xfId="0" applyFont="1" applyFill="1" applyBorder="1" applyAlignment="1">
      <alignment horizontal="center" vertical="center" wrapText="1"/>
    </xf>
    <xf numFmtId="0" fontId="22" fillId="19" borderId="5" xfId="0" applyFont="1" applyFill="1" applyBorder="1" applyAlignment="1">
      <alignment vertical="center" wrapText="1"/>
    </xf>
    <xf numFmtId="0" fontId="25" fillId="19" borderId="6" xfId="0" applyFont="1" applyFill="1" applyBorder="1" applyAlignment="1">
      <alignment vertical="center"/>
    </xf>
    <xf numFmtId="0" fontId="25" fillId="19" borderId="8" xfId="0" applyFont="1" applyFill="1" applyBorder="1" applyAlignment="1">
      <alignment vertical="center"/>
    </xf>
    <xf numFmtId="0" fontId="25" fillId="19" borderId="5" xfId="0" applyFont="1" applyFill="1" applyBorder="1" applyAlignment="1">
      <alignment horizontal="center" vertical="center"/>
    </xf>
    <xf numFmtId="0" fontId="25" fillId="19" borderId="6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1" fillId="14" borderId="0" xfId="0" applyFont="1" applyFill="1" applyAlignment="1">
      <alignment horizontal="center" vertical="center"/>
    </xf>
    <xf numFmtId="9" fontId="13" fillId="0" borderId="3" xfId="0" applyNumberFormat="1" applyFont="1" applyBorder="1" applyAlignment="1">
      <alignment horizontal="center" vertical="center" wrapText="1"/>
    </xf>
    <xf numFmtId="0" fontId="14" fillId="16" borderId="0" xfId="0" applyFont="1" applyFill="1" applyAlignment="1">
      <alignment vertical="center" wrapText="1"/>
    </xf>
    <xf numFmtId="0" fontId="12" fillId="17" borderId="0" xfId="0" applyFont="1" applyFill="1" applyAlignment="1">
      <alignment horizontal="center" vertical="center" wrapText="1"/>
    </xf>
    <xf numFmtId="0" fontId="15" fillId="18" borderId="4" xfId="0" applyFont="1" applyFill="1" applyBorder="1" applyAlignment="1">
      <alignment vertical="center" wrapText="1"/>
    </xf>
    <xf numFmtId="0" fontId="7" fillId="8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7" fillId="11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11" fillId="17" borderId="0" xfId="0" applyFont="1" applyFill="1" applyAlignment="1">
      <alignment horizontal="center" vertical="center"/>
    </xf>
    <xf numFmtId="0" fontId="5" fillId="0" borderId="0" xfId="0" applyFont="1" applyAlignment="1">
      <alignment vertical="top" wrapText="1"/>
    </xf>
    <xf numFmtId="0" fontId="22" fillId="19" borderId="5" xfId="0" applyFont="1" applyFill="1" applyBorder="1" applyAlignment="1">
      <alignment horizontal="center" vertical="center"/>
    </xf>
    <xf numFmtId="0" fontId="23" fillId="19" borderId="5" xfId="0" applyFont="1" applyFill="1" applyBorder="1" applyAlignment="1">
      <alignment horizontal="center" vertical="center"/>
    </xf>
    <xf numFmtId="0" fontId="22" fillId="19" borderId="9" xfId="0" applyFont="1" applyFill="1" applyBorder="1" applyAlignment="1">
      <alignment horizontal="center" vertical="center"/>
    </xf>
    <xf numFmtId="0" fontId="22" fillId="1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83">
    <dxf>
      <fill>
        <patternFill>
          <bgColor rgb="FFEAD9C3"/>
        </patternFill>
      </fill>
    </dxf>
    <dxf>
      <fill>
        <patternFill>
          <bgColor rgb="FFC9ECE6"/>
        </patternFill>
      </fill>
    </dxf>
    <dxf>
      <fill>
        <patternFill>
          <bgColor rgb="FFF4B6C2"/>
        </patternFill>
      </fill>
    </dxf>
    <dxf>
      <fill>
        <patternFill>
          <bgColor rgb="FFC6E0B4"/>
        </patternFill>
      </fill>
    </dxf>
    <dxf>
      <fill>
        <patternFill>
          <bgColor rgb="FFD9C3E9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FCD5B4"/>
        </patternFill>
      </fill>
    </dxf>
    <dxf>
      <border diagonalUp="0" diagonalDown="0">
        <left style="medium">
          <color rgb="FFC65911"/>
        </left>
        <right style="medium">
          <color rgb="FFC65911"/>
        </right>
        <top/>
        <bottom/>
      </border>
    </dxf>
    <dxf>
      <fill>
        <patternFill>
          <bgColor rgb="FFEAD9C3"/>
        </patternFill>
      </fill>
    </dxf>
    <dxf>
      <fill>
        <patternFill>
          <bgColor rgb="FFC9ECE6"/>
        </patternFill>
      </fill>
    </dxf>
    <dxf>
      <fill>
        <patternFill>
          <bgColor rgb="FFF4B6C2"/>
        </patternFill>
      </fill>
    </dxf>
    <dxf>
      <fill>
        <patternFill>
          <bgColor rgb="FFC6E0B4"/>
        </patternFill>
      </fill>
    </dxf>
    <dxf>
      <fill>
        <patternFill>
          <bgColor rgb="FFD9C3E9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FCD5B4"/>
        </patternFill>
      </fill>
    </dxf>
    <dxf>
      <fill>
        <patternFill>
          <bgColor rgb="FFC65911"/>
        </patternFill>
      </fill>
    </dxf>
    <dxf>
      <fill>
        <patternFill>
          <bgColor rgb="FFEAD9C3"/>
        </patternFill>
      </fill>
    </dxf>
    <dxf>
      <fill>
        <patternFill>
          <bgColor rgb="FFC9ECE6"/>
        </patternFill>
      </fill>
    </dxf>
    <dxf>
      <fill>
        <patternFill>
          <bgColor rgb="FFF4B6C2"/>
        </patternFill>
      </fill>
    </dxf>
    <dxf>
      <fill>
        <patternFill>
          <bgColor rgb="FFC6E0B4"/>
        </patternFill>
      </fill>
    </dxf>
    <dxf>
      <fill>
        <patternFill>
          <bgColor rgb="FFD9C3E9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FCD5B4"/>
        </patternFill>
      </fill>
    </dxf>
    <dxf>
      <fill>
        <patternFill>
          <bgColor rgb="FFEAD9C3"/>
        </patternFill>
      </fill>
    </dxf>
    <dxf>
      <fill>
        <patternFill>
          <bgColor rgb="FFC9ECE6"/>
        </patternFill>
      </fill>
    </dxf>
    <dxf>
      <fill>
        <patternFill>
          <bgColor rgb="FFF4B6C2"/>
        </patternFill>
      </fill>
    </dxf>
    <dxf>
      <fill>
        <patternFill>
          <bgColor rgb="FFC6E0B4"/>
        </patternFill>
      </fill>
    </dxf>
    <dxf>
      <fill>
        <patternFill>
          <bgColor rgb="FFD9C3E9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FCD5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ont>
        <i/>
        <color rgb="FFA6A6A6"/>
      </font>
      <fill>
        <patternFill>
          <bgColor rgb="FFF2F2F2"/>
        </patternFill>
      </fill>
    </dxf>
    <dxf>
      <font>
        <i/>
        <color rgb="FF808080"/>
      </font>
      <fill>
        <patternFill>
          <bgColor rgb="FFF2F2F2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color rgb="FFA6A6A6"/>
      </font>
      <fill>
        <patternFill>
          <bgColor rgb="FFF2F2F2"/>
        </patternFill>
      </fill>
    </dxf>
    <dxf>
      <font>
        <i/>
        <color rgb="FFA6A6A6"/>
      </font>
      <fill>
        <patternFill>
          <bgColor rgb="FFF2F2F2"/>
        </patternFill>
      </fill>
    </dxf>
    <dxf>
      <font>
        <i/>
        <color rgb="FF808080"/>
      </font>
      <fill>
        <patternFill>
          <bgColor rgb="FFF2F2F2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color rgb="FFA6A6A6"/>
      </font>
      <fill>
        <patternFill>
          <bgColor rgb="FFF2F2F2"/>
        </patternFill>
      </fill>
    </dxf>
    <dxf>
      <font>
        <i/>
        <color rgb="FFA6A6A6"/>
      </font>
      <fill>
        <patternFill>
          <bgColor rgb="FFF2F2F2"/>
        </patternFill>
      </fill>
    </dxf>
    <dxf>
      <font>
        <i/>
        <color rgb="FF808080"/>
      </font>
      <fill>
        <patternFill>
          <bgColor rgb="FFF2F2F2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color rgb="FFA6A6A6"/>
      </font>
      <fill>
        <patternFill>
          <bgColor rgb="FFF2F2F2"/>
        </patternFill>
      </fill>
    </dxf>
    <dxf>
      <font>
        <i/>
        <color rgb="FFA6A6A6"/>
      </font>
      <fill>
        <patternFill>
          <bgColor rgb="FFF2F2F2"/>
        </patternFill>
      </fill>
    </dxf>
    <dxf>
      <font>
        <i/>
        <color rgb="FF808080"/>
      </font>
      <fill>
        <patternFill>
          <bgColor rgb="FFF2F2F2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color rgb="FFA6A6A6"/>
      </font>
      <fill>
        <patternFill>
          <bgColor rgb="FFF2F2F2"/>
        </patternFill>
      </fill>
    </dxf>
    <dxf>
      <font>
        <i/>
        <color rgb="FFA6A6A6"/>
      </font>
      <fill>
        <patternFill>
          <bgColor rgb="FFF2F2F2"/>
        </patternFill>
      </fill>
    </dxf>
    <dxf>
      <font>
        <i/>
        <color rgb="FF808080"/>
      </font>
      <fill>
        <patternFill>
          <bgColor rgb="FFF2F2F2"/>
        </patternFill>
      </fill>
    </dxf>
    <dxf>
      <font>
        <b/>
        <color rgb="FFFFFFFF"/>
      </font>
      <fill>
        <patternFill>
          <bgColor rgb="FFC00000"/>
        </patternFill>
      </fill>
    </dxf>
    <dxf>
      <font>
        <color rgb="FFA6A6A6"/>
      </font>
      <fill>
        <patternFill>
          <bgColor rgb="FFF2F2F2"/>
        </patternFill>
      </fill>
    </dxf>
    <dxf>
      <font>
        <strike/>
        <color rgb="FF808080"/>
      </font>
      <fill>
        <patternFill>
          <bgColor rgb="FFEDEDED"/>
        </patternFill>
      </fill>
    </dxf>
    <dxf>
      <fill>
        <patternFill>
          <bgColor rgb="FFEAD9C3"/>
        </patternFill>
      </fill>
    </dxf>
    <dxf>
      <fill>
        <patternFill>
          <bgColor rgb="FFC9ECE6"/>
        </patternFill>
      </fill>
    </dxf>
    <dxf>
      <fill>
        <patternFill>
          <bgColor rgb="FFF4B6C2"/>
        </patternFill>
      </fill>
    </dxf>
    <dxf>
      <fill>
        <patternFill>
          <bgColor rgb="FFC6E0B4"/>
        </patternFill>
      </fill>
    </dxf>
    <dxf>
      <fill>
        <patternFill>
          <bgColor rgb="FFD9C3E9"/>
        </patternFill>
      </fill>
    </dxf>
    <dxf>
      <fill>
        <patternFill>
          <bgColor rgb="FFFFE699"/>
        </patternFill>
      </fill>
    </dxf>
    <dxf>
      <fill>
        <patternFill>
          <bgColor rgb="FFBDD7EE"/>
        </patternFill>
      </fill>
    </dxf>
    <dxf>
      <fill>
        <patternFill>
          <bgColor rgb="FFFCD5B4"/>
        </patternFill>
      </fill>
    </dxf>
    <dxf>
      <fill>
        <patternFill>
          <bgColor rgb="FFC65911"/>
        </patternFill>
      </fill>
    </dxf>
    <dxf>
      <fill>
        <patternFill>
          <bgColor rgb="FFBFBFBF"/>
        </patternFill>
      </fill>
    </dxf>
    <dxf>
      <fill>
        <patternFill>
          <bgColor rgb="FFC65911"/>
        </patternFill>
      </fill>
    </dxf>
    <dxf>
      <fill>
        <patternFill>
          <bgColor rgb="FFBFBFBF"/>
        </patternFill>
      </fill>
    </dxf>
    <dxf>
      <fill>
        <patternFill>
          <bgColor rgb="FFC65911"/>
        </patternFill>
      </fill>
    </dxf>
    <dxf>
      <fill>
        <patternFill>
          <bgColor rgb="FFBFBFBF"/>
        </patternFill>
      </fill>
    </dxf>
    <dxf>
      <fill>
        <patternFill>
          <bgColor rgb="FFC65911"/>
        </patternFill>
      </fill>
    </dxf>
    <dxf>
      <fill>
        <patternFill>
          <bgColor rgb="FFBFBFBF"/>
        </patternFill>
      </fill>
    </dxf>
    <dxf>
      <fill>
        <patternFill>
          <bgColor rgb="FFC65911"/>
        </patternFill>
      </fill>
    </dxf>
    <dxf>
      <fill>
        <patternFill>
          <bgColor rgb="FFBFBFB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AD9C3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C6E0B4"/>
      <rgbColor rgb="FF993366"/>
      <rgbColor rgb="FFFFF2CC"/>
      <rgbColor rgb="FFC9ECE6"/>
      <rgbColor rgb="FF660066"/>
      <rgbColor rgb="FFF2F2F2"/>
      <rgbColor rgb="FF0066CC"/>
      <rgbColor rgb="FFD9C3E9"/>
      <rgbColor rgb="FF000080"/>
      <rgbColor rgb="FFFF00FF"/>
      <rgbColor rgb="FFFCE4D6"/>
      <rgbColor rgb="FF00FFFF"/>
      <rgbColor rgb="FF800080"/>
      <rgbColor rgb="FF800000"/>
      <rgbColor rgb="FF008080"/>
      <rgbColor rgb="FF0000FF"/>
      <rgbColor rgb="FF00CCFF"/>
      <rgbColor rgb="FFEAF1FB"/>
      <rgbColor rgb="FFEDEDED"/>
      <rgbColor rgb="FFFFE699"/>
      <rgbColor rgb="FFBDD7EE"/>
      <rgbColor rgb="FFF4B6C2"/>
      <rgbColor rgb="FFD9D9D9"/>
      <rgbColor rgb="FFF8CBAD"/>
      <rgbColor rgb="FF3366FF"/>
      <rgbColor rgb="FF33CCCC"/>
      <rgbColor rgb="FF99CC00"/>
      <rgbColor rgb="FFFCD5B4"/>
      <rgbColor rgb="FFFF9900"/>
      <rgbColor rgb="FFC65911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2F5597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M37"/>
  <sheetViews>
    <sheetView showGridLines="0" tabSelected="1" zoomScaleNormal="100" workbookViewId="0">
      <pane ySplit="5" topLeftCell="A6" activePane="bottomLeft" state="frozen"/>
      <selection pane="bottomLeft" activeCell="C15" sqref="C15"/>
    </sheetView>
  </sheetViews>
  <sheetFormatPr baseColWidth="10" defaultColWidth="8.7109375" defaultRowHeight="15"/>
  <cols>
    <col min="1" max="1" width="11" customWidth="1"/>
    <col min="2" max="2" width="8" customWidth="1"/>
    <col min="3" max="3" width="25" customWidth="1"/>
    <col min="4" max="4" width="4.42578125" customWidth="1"/>
    <col min="5" max="5" width="25" customWidth="1"/>
    <col min="6" max="6" width="4.42578125" customWidth="1"/>
    <col min="7" max="7" width="25" customWidth="1"/>
    <col min="8" max="8" width="4.42578125" customWidth="1"/>
    <col min="9" max="9" width="25" customWidth="1"/>
    <col min="10" max="10" width="4.42578125" customWidth="1"/>
    <col min="11" max="11" width="25" customWidth="1"/>
    <col min="12" max="12" width="4.42578125" customWidth="1"/>
    <col min="13" max="13" width="10" customWidth="1"/>
  </cols>
  <sheetData>
    <row r="1" spans="1:13" ht="27.75" customHeight="1">
      <c r="A1" s="83" t="str">
        <f>UPPER("Calendario de tareas QF · Droguería · "&amp;C2&amp;" "&amp;F2)</f>
        <v>CALENDARIO DE TAREAS QF · DROGUERÍA · NOVIEMBRE 2026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</row>
    <row r="2" spans="1:13" ht="27.75" customHeight="1">
      <c r="B2" s="1" t="s">
        <v>0</v>
      </c>
      <c r="C2" s="84" t="s">
        <v>1</v>
      </c>
      <c r="D2" s="84"/>
      <c r="E2" s="1" t="s">
        <v>2</v>
      </c>
      <c r="F2" s="84">
        <v>2026</v>
      </c>
      <c r="G2" s="84"/>
      <c r="H2" s="85" t="s">
        <v>3</v>
      </c>
      <c r="I2" s="85"/>
      <c r="J2" s="85"/>
      <c r="K2" s="84">
        <v>3</v>
      </c>
      <c r="L2" s="84"/>
      <c r="M2" s="2" t="str">
        <f>Configuración!B9&amp;" semanas"</f>
        <v>4 semanas</v>
      </c>
    </row>
    <row r="3" spans="1:13" ht="27.75" customHeight="1">
      <c r="A3" s="78" t="s">
        <v>4</v>
      </c>
      <c r="B3" s="78"/>
      <c r="C3" s="79" t="s">
        <v>5</v>
      </c>
      <c r="D3" s="79"/>
      <c r="E3" s="80" t="s">
        <v>6</v>
      </c>
      <c r="F3" s="80"/>
      <c r="G3" s="81" t="s">
        <v>7</v>
      </c>
      <c r="H3" s="81"/>
      <c r="I3" s="82" t="s">
        <v>8</v>
      </c>
      <c r="J3" s="82"/>
      <c r="K3" s="72" t="s">
        <v>9</v>
      </c>
      <c r="L3" s="72"/>
    </row>
    <row r="4" spans="1:13" ht="27.75" customHeight="1">
      <c r="A4" s="78"/>
      <c r="B4" s="78"/>
      <c r="C4" s="73" t="s">
        <v>10</v>
      </c>
      <c r="D4" s="73"/>
      <c r="E4" s="74" t="s">
        <v>11</v>
      </c>
      <c r="F4" s="74"/>
      <c r="G4" s="75" t="s">
        <v>12</v>
      </c>
      <c r="H4" s="75"/>
      <c r="I4" s="76" t="s">
        <v>13</v>
      </c>
      <c r="J4" s="76"/>
      <c r="K4" s="77" t="s">
        <v>14</v>
      </c>
      <c r="L4" s="77"/>
    </row>
    <row r="5" spans="1:13" ht="6" customHeight="1"/>
    <row r="6" spans="1:13" ht="19.5" customHeight="1">
      <c r="A6" s="66" t="str">
        <f>"SEMANA 1"</f>
        <v>SEMANA 1</v>
      </c>
      <c r="B6" s="67" t="str">
        <f>IF(Configuración!$C$12=0,"No aplica este mes","Plan Semana "&amp;Configuración!$D$12&amp;" · "&amp;INDEX('Plan semanal'!$B$1:$B$40,4+(Configuración!$D$12-1)*6))</f>
        <v>Plan Semana 1 · RECEPCIÓN CENABAST / CRÍTICOS Y PE LISTOS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3" t="s">
        <v>15</v>
      </c>
    </row>
    <row r="7" spans="1:13" ht="16.5" customHeight="1">
      <c r="A7" s="66"/>
      <c r="B7" s="4" t="s">
        <v>16</v>
      </c>
      <c r="C7" s="5">
        <f>Configuración!$B$12+0</f>
        <v>46328</v>
      </c>
      <c r="D7" s="6">
        <f>C7</f>
        <v>46328</v>
      </c>
      <c r="E7" s="5">
        <f>Configuración!$B$12+1</f>
        <v>46329</v>
      </c>
      <c r="F7" s="6">
        <f>E7</f>
        <v>46329</v>
      </c>
      <c r="G7" s="5">
        <f>Configuración!$B$12+2</f>
        <v>46330</v>
      </c>
      <c r="H7" s="6">
        <f>G7</f>
        <v>46330</v>
      </c>
      <c r="I7" s="5">
        <f>Configuración!$B$12+3</f>
        <v>46331</v>
      </c>
      <c r="J7" s="6">
        <f>I7</f>
        <v>46331</v>
      </c>
      <c r="K7" s="5">
        <f>Configuración!$B$12+4</f>
        <v>46332</v>
      </c>
      <c r="L7" s="6">
        <f>K7</f>
        <v>46332</v>
      </c>
      <c r="M7" s="68">
        <f>IFERROR(((COUNTIF(Configuración!$M$4:$M$80,C$7)=0)*(D9="✓")+(COUNTIF(Configuración!$M$4:$M$80,C$7)=0)*(D10="✓")+(COUNTIF(Configuración!$M$4:$M$80,E$7)=0)*(F9="✓")+(COUNTIF(Configuración!$M$4:$M$80,E$7)=0)*(F10="✓")+(COUNTIF(Configuración!$M$4:$M$80,G$7)=0)*(H9="✓")+(COUNTIF(Configuración!$M$4:$M$80,G$7)=0)*(H10="✓")+(COUNTIF(Configuración!$M$4:$M$80,I$7)=0)*(J9="✓")+(COUNTIF(Configuración!$M$4:$M$80,I$7)=0)*(J10="✓")+(COUNTIF(Configuración!$M$4:$M$80,K$7)=0)*(L9="✓")+(COUNTIF(Configuración!$M$4:$M$80,K$7)=0)*(L10="✓"))/((COUNTIF(Configuración!$M$4:$M$80,C$7)=0)*(C9&lt;&gt;"")*(D9&lt;&gt;"N/A")+(COUNTIF(Configuración!$M$4:$M$80,C$7)=0)*(C10&lt;&gt;"")*(D10&lt;&gt;"N/A")+(COUNTIF(Configuración!$M$4:$M$80,E$7)=0)*(E9&lt;&gt;"")*(F9&lt;&gt;"N/A")+(COUNTIF(Configuración!$M$4:$M$80,E$7)=0)*(E10&lt;&gt;"")*(F10&lt;&gt;"N/A")+(COUNTIF(Configuración!$M$4:$M$80,G$7)=0)*(G9&lt;&gt;"")*(H9&lt;&gt;"N/A")+(COUNTIF(Configuración!$M$4:$M$80,G$7)=0)*(G10&lt;&gt;"")*(H10&lt;&gt;"N/A")+(COUNTIF(Configuración!$M$4:$M$80,I$7)=0)*(I9&lt;&gt;"")*(J9&lt;&gt;"N/A")+(COUNTIF(Configuración!$M$4:$M$80,I$7)=0)*(I10&lt;&gt;"")*(J10&lt;&gt;"N/A")+(COUNTIF(Configuración!$M$4:$M$80,K$7)=0)*(K9&lt;&gt;"")*(L9&lt;&gt;"N/A")+(COUNTIF(Configuración!$M$4:$M$80,K$7)=0)*(K10&lt;&gt;"")*(L10&lt;&gt;"N/A")),"")</f>
        <v>0</v>
      </c>
    </row>
    <row r="8" spans="1:13" ht="30" customHeight="1">
      <c r="A8" s="66"/>
      <c r="B8" s="4" t="s">
        <v>17</v>
      </c>
      <c r="C8" s="69" t="str">
        <f>IF(Configuración!$C$12=0,"",INDEX('Plan semanal'!$C$1:$C$40,4+(Configuración!$D$12-1)*6+2)&amp;"")</f>
        <v>T° y HR AM/PM en bodegas · Recepción técnica y liberación de cuarentena · Revisión de alertas ISP / retiros del mercado</v>
      </c>
      <c r="D8" s="69"/>
      <c r="E8" s="69"/>
      <c r="F8" s="69"/>
      <c r="G8" s="69"/>
      <c r="H8" s="69"/>
      <c r="I8" s="69"/>
      <c r="J8" s="69"/>
      <c r="K8" s="69"/>
      <c r="L8" s="69"/>
      <c r="M8" s="68"/>
    </row>
    <row r="9" spans="1:13" ht="63.75" customHeight="1">
      <c r="A9" s="66"/>
      <c r="B9" s="4" t="s">
        <v>18</v>
      </c>
      <c r="C9" s="7" t="str">
        <f>IF(Configuración!$C$12=0,"",INDEX('Plan semanal'!$C$1:$G$40,4+(Configuración!$D$12-1)*6+3,1)&amp;"")</f>
        <v>TEM · Bajar info Data Logger / Revisión QFs: T° y H% aplicar CAPAs</v>
      </c>
      <c r="D9" s="8"/>
      <c r="E9" s="7" t="str">
        <f>IF(Configuración!$C$12=0,"",INDEX('Plan semanal'!$C$1:$G$40,4+(Configuración!$D$12-1)*6+3,2)&amp;"")</f>
        <v>INV · Segregar vencidos + correo sobrestock (HPM-SSDR-SAR-SAPU)</v>
      </c>
      <c r="F9" s="8"/>
      <c r="G9" s="7" t="str">
        <f>IF(Configuración!$C$12=0,"",INDEX('Plan semanal'!$C$1:$G$40,4+(Configuración!$D$12-1)*6+3,3)&amp;"")</f>
        <v>REC · Críticos + PE</v>
      </c>
      <c r="H9" s="8"/>
      <c r="I9" s="7" t="str">
        <f>IF(Configuración!$C$12=0,"",INDEX('Plan semanal'!$C$1:$G$40,4+(Configuración!$D$12-1)*6+3,4)&amp;"")</f>
        <v>EQP · QF Programas / QF Droguería</v>
      </c>
      <c r="J9" s="8"/>
      <c r="K9" s="7" t="str">
        <f>IF(Configuración!$C$12=0,"",INDEX('Plan semanal'!$C$1:$G$40,4+(Configuración!$D$12-1)*6+3,5)&amp;"")</f>
        <v>ADM · Guía N399</v>
      </c>
      <c r="L9" s="8"/>
      <c r="M9" s="68"/>
    </row>
    <row r="10" spans="1:13" ht="63.75" customHeight="1">
      <c r="A10" s="66"/>
      <c r="B10" s="4" t="s">
        <v>19</v>
      </c>
      <c r="C10" s="7" t="str">
        <f>IF(Configuración!$C$12=0,"",INDEX('Plan semanal'!$C$1:$G$40,4+(Configuración!$D$12-1)*6+4,1)&amp;"")</f>
        <v>CTR · Cuadratura física de estupefacientes y psicotrópicos (cierre mes anterior)</v>
      </c>
      <c r="D10" s="8"/>
      <c r="E10" s="7" t="str">
        <f>IF(Configuración!$C$12=0,"",INDEX('Plan semanal'!$C$1:$G$40,4+(Configuración!$D$12-1)*6+4,2)&amp;"")</f>
        <v>REC · No conformidades de recepción (faltantes, daños, T° fuera de rango) → reclamo a CENABAST/proveedor</v>
      </c>
      <c r="F10" s="8"/>
      <c r="G10" s="7" t="str">
        <f>IF(Configuración!$C$12=0,"",INDEX('Plan semanal'!$C$1:$G$40,4+(Configuración!$D$12-1)*6+4,3)&amp;"")</f>
        <v>ADM · Facturas firmadas listas para Finanzas</v>
      </c>
      <c r="H10" s="8"/>
      <c r="I10" s="7" t="str">
        <f>IF(Configuración!$C$12=0,"",INDEX('Plan semanal'!$C$1:$G$40,4+(Configuración!$D$12-1)*6+4,4)&amp;"")</f>
        <v>EQP · Programación 2 QF</v>
      </c>
      <c r="J10" s="8"/>
      <c r="K10" s="7" t="str">
        <f>IF(Configuración!$C$12=0,"",INDEX('Plan semanal'!$C$1:$G$40,4+(Configuración!$D$12-1)*6+4,5)&amp;"")</f>
        <v>CAL · Actualizar procedimientos</v>
      </c>
      <c r="L10" s="8"/>
      <c r="M10" s="68"/>
    </row>
    <row r="11" spans="1:13" ht="7.5" customHeight="1"/>
    <row r="12" spans="1:13" ht="19.5" customHeight="1">
      <c r="A12" s="66" t="str">
        <f>"SEMANA 2"</f>
        <v>SEMANA 2</v>
      </c>
      <c r="B12" s="67" t="str">
        <f>IF(Configuración!$C$13=0,"No aplica este mes","Plan Semana "&amp;Configuración!$D$13&amp;" · "&amp;INDEX('Plan semanal'!$B$1:$B$40,4+(Configuración!$D$13-1)*6))</f>
        <v>Plan Semana 2 · GESTIÓN SANITARIA: CONTROLADOS, VENCIMIENTOS Y FARMACOVIGILANCIA</v>
      </c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3" t="s">
        <v>15</v>
      </c>
    </row>
    <row r="13" spans="1:13" ht="16.5" customHeight="1">
      <c r="A13" s="66"/>
      <c r="B13" s="4" t="s">
        <v>16</v>
      </c>
      <c r="C13" s="5">
        <f>Configuración!$B$13+0</f>
        <v>46335</v>
      </c>
      <c r="D13" s="6">
        <f>C13</f>
        <v>46335</v>
      </c>
      <c r="E13" s="5">
        <f>Configuración!$B$13+1</f>
        <v>46336</v>
      </c>
      <c r="F13" s="6">
        <f>E13</f>
        <v>46336</v>
      </c>
      <c r="G13" s="5">
        <f>Configuración!$B$13+2</f>
        <v>46337</v>
      </c>
      <c r="H13" s="6">
        <f>G13</f>
        <v>46337</v>
      </c>
      <c r="I13" s="5">
        <f>Configuración!$B$13+3</f>
        <v>46338</v>
      </c>
      <c r="J13" s="6">
        <f>I13</f>
        <v>46338</v>
      </c>
      <c r="K13" s="5">
        <f>Configuración!$B$13+4</f>
        <v>46339</v>
      </c>
      <c r="L13" s="6">
        <f>K13</f>
        <v>46339</v>
      </c>
      <c r="M13" s="68">
        <f>IFERROR(((COUNTIF(Configuración!$M$4:$M$80,C$13)=0)*(D15="✓")+(COUNTIF(Configuración!$M$4:$M$80,C$13)=0)*(D16="✓")+(COUNTIF(Configuración!$M$4:$M$80,E$13)=0)*(F15="✓")+(COUNTIF(Configuración!$M$4:$M$80,E$13)=0)*(F16="✓")+(COUNTIF(Configuración!$M$4:$M$80,G$13)=0)*(H15="✓")+(COUNTIF(Configuración!$M$4:$M$80,G$13)=0)*(H16="✓")+(COUNTIF(Configuración!$M$4:$M$80,I$13)=0)*(J15="✓")+(COUNTIF(Configuración!$M$4:$M$80,I$13)=0)*(J16="✓")+(COUNTIF(Configuración!$M$4:$M$80,K$13)=0)*(L15="✓")+(COUNTIF(Configuración!$M$4:$M$80,K$13)=0)*(L16="✓"))/((COUNTIF(Configuración!$M$4:$M$80,C$13)=0)*(C15&lt;&gt;"")*(D15&lt;&gt;"N/A")+(COUNTIF(Configuración!$M$4:$M$80,C$13)=0)*(C16&lt;&gt;"")*(D16&lt;&gt;"N/A")+(COUNTIF(Configuración!$M$4:$M$80,E$13)=0)*(E15&lt;&gt;"")*(F15&lt;&gt;"N/A")+(COUNTIF(Configuración!$M$4:$M$80,E$13)=0)*(E16&lt;&gt;"")*(F16&lt;&gt;"N/A")+(COUNTIF(Configuración!$M$4:$M$80,G$13)=0)*(G15&lt;&gt;"")*(H15&lt;&gt;"N/A")+(COUNTIF(Configuración!$M$4:$M$80,G$13)=0)*(G16&lt;&gt;"")*(H16&lt;&gt;"N/A")+(COUNTIF(Configuración!$M$4:$M$80,I$13)=0)*(I15&lt;&gt;"")*(J15&lt;&gt;"N/A")+(COUNTIF(Configuración!$M$4:$M$80,I$13)=0)*(I16&lt;&gt;"")*(J16&lt;&gt;"N/A")+(COUNTIF(Configuración!$M$4:$M$80,K$13)=0)*(K15&lt;&gt;"")*(L15&lt;&gt;"N/A")+(COUNTIF(Configuración!$M$4:$M$80,K$13)=0)*(K16&lt;&gt;"")*(L16&lt;&gt;"N/A")),"")</f>
        <v>0</v>
      </c>
    </row>
    <row r="14" spans="1:13" ht="30" customHeight="1">
      <c r="A14" s="66"/>
      <c r="B14" s="4" t="s">
        <v>17</v>
      </c>
      <c r="C14" s="69" t="str">
        <f>IF(Configuración!$C$13=0,"",INDEX('Plan semanal'!$C$1:$C$40,4+(Configuración!$D$13-1)*6+2)&amp;"")</f>
        <v>T° y HR AM/PM en bodegas · Revisión y firma de despachos · Revisión de alertas ISP / retiros del mercado · Custodia de bodega de controlados</v>
      </c>
      <c r="D14" s="69"/>
      <c r="E14" s="69"/>
      <c r="F14" s="69"/>
      <c r="G14" s="69"/>
      <c r="H14" s="69"/>
      <c r="I14" s="69"/>
      <c r="J14" s="69"/>
      <c r="K14" s="69"/>
      <c r="L14" s="69"/>
      <c r="M14" s="68"/>
    </row>
    <row r="15" spans="1:13" ht="63.75" customHeight="1">
      <c r="A15" s="66"/>
      <c r="B15" s="4" t="s">
        <v>18</v>
      </c>
      <c r="C15" s="7" t="str">
        <f>IF(Configuración!$C$13=0,"",INDEX('Plan semanal'!$C$1:$G$40,4+(Configuración!$D$13-1)*6+3,1)&amp;"")</f>
        <v>CTR · Revisión de libro de controlados</v>
      </c>
      <c r="D15" s="8"/>
      <c r="E15" s="7" t="str">
        <f>IF(Configuración!$C$13=0,"",INDEX('Plan semanal'!$C$1:$G$40,4+(Configuración!$D$13-1)*6+3,2)&amp;"")</f>
        <v>INV · Próximos a vencer (3–6 meses): semáforo y propuesta de redistribución</v>
      </c>
      <c r="F15" s="8"/>
      <c r="G15" s="7" t="str">
        <f>IF(Configuración!$C$13=0,"",INDEX('Plan semanal'!$C$1:$G$40,4+(Configuración!$D$13-1)*6+3,3)&amp;"")</f>
        <v>CAL · Revisión de desviaciones, reclamos, devoluciones y estado de CAPAs</v>
      </c>
      <c r="H15" s="8"/>
      <c r="I15" s="7" t="str">
        <f>IF(Configuración!$C$13=0,"",INDEX('Plan semanal'!$C$1:$G$40,4+(Configuración!$D$13-1)*6+3,4)&amp;"")</f>
        <v>REG · Farmacovigilancia y tecnovigilancia: revisar y notificar RAM / fallas de calidad al ISP</v>
      </c>
      <c r="J15" s="8"/>
      <c r="K15" s="7" t="str">
        <f>IF(Configuración!$C$13=0,"",INDEX('Plan semanal'!$C$1:$G$40,4+(Configuración!$D$13-1)*6+3,5)&amp;"")</f>
        <v>CAL · Actualizar procedimientos</v>
      </c>
      <c r="L15" s="8"/>
      <c r="M15" s="68"/>
    </row>
    <row r="16" spans="1:13" ht="63.75" customHeight="1">
      <c r="A16" s="66"/>
      <c r="B16" s="4" t="s">
        <v>19</v>
      </c>
      <c r="C16" s="7" t="str">
        <f>IF(Configuración!$C$13=0,"",INDEX('Plan semanal'!$C$1:$G$40,4+(Configuración!$D$13-1)*6+4,1)&amp;"")</f>
        <v>CTR · Archivo de documentación de controlados e informes a la autoridad sanitaria (según periodicidad vigente)</v>
      </c>
      <c r="D16" s="8"/>
      <c r="E16" s="7" t="str">
        <f>IF(Configuración!$C$13=0,"",INDEX('Plan semanal'!$C$1:$G$40,4+(Configuración!$D$13-1)*6+4,2)&amp;"")</f>
        <v>REC · Hacer PE + ET + AG/CM/SE</v>
      </c>
      <c r="F16" s="8"/>
      <c r="G16" s="7" t="str">
        <f>IF(Configuración!$C$13=0,"",INDEX('Plan semanal'!$C$1:$G$40,4+(Configuración!$D$13-1)*6+4,3)&amp;"")</f>
        <v>ADM · Facturas firmadas listas para Finanzas</v>
      </c>
      <c r="H16" s="8"/>
      <c r="I16" s="7" t="str">
        <f>IF(Configuración!$C$13=0,"",INDEX('Plan semanal'!$C$1:$G$40,4+(Configuración!$D$13-1)*6+4,4)&amp;"")</f>
        <v>REC · Críticos + PE / Programación 2 QF</v>
      </c>
      <c r="J16" s="8"/>
      <c r="K16" s="7" t="str">
        <f>IF(Configuración!$C$13=0,"",INDEX('Plan semanal'!$C$1:$G$40,4+(Configuración!$D$13-1)*6+4,5)&amp;"")</f>
        <v>EQP · Capacitación mensual al personal (BPAD, control de T° y HR, derrames, controlados) + registro de asistencia</v>
      </c>
      <c r="L16" s="8"/>
      <c r="M16" s="68"/>
    </row>
    <row r="17" spans="1:13" ht="7.5" customHeight="1"/>
    <row r="18" spans="1:13" ht="19.5" customHeight="1">
      <c r="A18" s="66" t="str">
        <f>"SEMANA 3"</f>
        <v>SEMANA 3</v>
      </c>
      <c r="B18" s="67" t="str">
        <f>IF(Configuración!$C$14=0,"No aplica este mes","Plan Semana "&amp;Configuración!$D$14&amp;" · "&amp;INDEX('Plan semanal'!$B$1:$B$40,4+(Configuración!$D$14-1)*6))</f>
        <v>Plan Semana 3 · CALIDAD, INVENTARIO Y PLANIFICACIÓN DE RECEPCIÓN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3" t="s">
        <v>15</v>
      </c>
    </row>
    <row r="19" spans="1:13" ht="16.5" customHeight="1">
      <c r="A19" s="66"/>
      <c r="B19" s="4" t="s">
        <v>16</v>
      </c>
      <c r="C19" s="5">
        <f>Configuración!$B$14+0</f>
        <v>46342</v>
      </c>
      <c r="D19" s="6">
        <f>C19</f>
        <v>46342</v>
      </c>
      <c r="E19" s="5">
        <f>Configuración!$B$14+1</f>
        <v>46343</v>
      </c>
      <c r="F19" s="6">
        <f>E19</f>
        <v>46343</v>
      </c>
      <c r="G19" s="5">
        <f>Configuración!$B$14+2</f>
        <v>46344</v>
      </c>
      <c r="H19" s="6">
        <f>G19</f>
        <v>46344</v>
      </c>
      <c r="I19" s="5">
        <f>Configuración!$B$14+3</f>
        <v>46345</v>
      </c>
      <c r="J19" s="6">
        <f>I19</f>
        <v>46345</v>
      </c>
      <c r="K19" s="5">
        <f>Configuración!$B$14+4</f>
        <v>46346</v>
      </c>
      <c r="L19" s="6">
        <f>K19</f>
        <v>46346</v>
      </c>
      <c r="M19" s="68">
        <f>IFERROR(((COUNTIF(Configuración!$M$4:$M$80,C$19)=0)*(D21="✓")+(COUNTIF(Configuración!$M$4:$M$80,C$19)=0)*(D22="✓")+(COUNTIF(Configuración!$M$4:$M$80,E$19)=0)*(F21="✓")+(COUNTIF(Configuración!$M$4:$M$80,E$19)=0)*(F22="✓")+(COUNTIF(Configuración!$M$4:$M$80,G$19)=0)*(H21="✓")+(COUNTIF(Configuración!$M$4:$M$80,G$19)=0)*(H22="✓")+(COUNTIF(Configuración!$M$4:$M$80,I$19)=0)*(J21="✓")+(COUNTIF(Configuración!$M$4:$M$80,I$19)=0)*(J22="✓")+(COUNTIF(Configuración!$M$4:$M$80,K$19)=0)*(L21="✓")+(COUNTIF(Configuración!$M$4:$M$80,K$19)=0)*(L22="✓"))/((COUNTIF(Configuración!$M$4:$M$80,C$19)=0)*(C21&lt;&gt;"")*(D21&lt;&gt;"N/A")+(COUNTIF(Configuración!$M$4:$M$80,C$19)=0)*(C22&lt;&gt;"")*(D22&lt;&gt;"N/A")+(COUNTIF(Configuración!$M$4:$M$80,E$19)=0)*(E21&lt;&gt;"")*(F21&lt;&gt;"N/A")+(COUNTIF(Configuración!$M$4:$M$80,E$19)=0)*(E22&lt;&gt;"")*(F22&lt;&gt;"N/A")+(COUNTIF(Configuración!$M$4:$M$80,G$19)=0)*(G21&lt;&gt;"")*(H21&lt;&gt;"N/A")+(COUNTIF(Configuración!$M$4:$M$80,G$19)=0)*(G22&lt;&gt;"")*(H22&lt;&gt;"N/A")+(COUNTIF(Configuración!$M$4:$M$80,I$19)=0)*(I21&lt;&gt;"")*(J21&lt;&gt;"N/A")+(COUNTIF(Configuración!$M$4:$M$80,I$19)=0)*(I22&lt;&gt;"")*(J22&lt;&gt;"N/A")+(COUNTIF(Configuración!$M$4:$M$80,K$19)=0)*(K21&lt;&gt;"")*(L21&lt;&gt;"N/A")+(COUNTIF(Configuración!$M$4:$M$80,K$19)=0)*(K22&lt;&gt;"")*(L22&lt;&gt;"N/A")),"")</f>
        <v>0</v>
      </c>
    </row>
    <row r="20" spans="1:13" ht="30" customHeight="1">
      <c r="A20" s="66"/>
      <c r="B20" s="4" t="s">
        <v>17</v>
      </c>
      <c r="C20" s="69" t="str">
        <f>IF(Configuración!$C$14=0,"",INDEX('Plan semanal'!$C$1:$C$40,4+(Configuración!$D$14-1)*6+2)&amp;"")</f>
        <v>T° y HR AM/PM en bodegas · Revisión y firma de despachos · Revisión de alertas ISP / retiros del mercado · Custodia de bodega de controlados</v>
      </c>
      <c r="D20" s="69"/>
      <c r="E20" s="69"/>
      <c r="F20" s="69"/>
      <c r="G20" s="69"/>
      <c r="H20" s="69"/>
      <c r="I20" s="69"/>
      <c r="J20" s="69"/>
      <c r="K20" s="69"/>
      <c r="L20" s="69"/>
      <c r="M20" s="68"/>
    </row>
    <row r="21" spans="1:13" ht="63.75" customHeight="1">
      <c r="A21" s="66"/>
      <c r="B21" s="4" t="s">
        <v>18</v>
      </c>
      <c r="C21" s="7" t="str">
        <f>IF(Configuración!$C$14=0,"",INDEX('Plan semanal'!$C$1:$G$40,4+(Configuración!$D$14-1)*6+3,1)&amp;"")</f>
        <v>INV · Inventario cíclico (alta rotación / alto costo) y ajustes en sistema</v>
      </c>
      <c r="D21" s="8"/>
      <c r="E21" s="7" t="str">
        <f>IF(Configuración!$C$14=0,"",INDEX('Plan semanal'!$C$1:$G$40,4+(Configuración!$D$14-1)*6+3,2)&amp;"")</f>
        <v>INV · Correo sobrestock (HPM-SSDR-SAR-SAPU)</v>
      </c>
      <c r="F21" s="8"/>
      <c r="G21" s="7" t="str">
        <f>IF(Configuración!$C$14=0,"",INDEX('Plan semanal'!$C$1:$G$40,4+(Configuración!$D$14-1)*6+3,3)&amp;"")</f>
        <v>CAL · Verificar registros de limpieza y control de plagas (certificados vigentes)</v>
      </c>
      <c r="H21" s="8"/>
      <c r="I21" s="7" t="str">
        <f>IF(Configuración!$C$14=0,"",INDEX('Plan semanal'!$C$1:$G$40,4+(Configuración!$D$14-1)*6+3,4)&amp;"")</f>
        <v>TEM · Equipos: calibración de data loggers/termómetros, mantención de equipos de AC, prueba de alarmas</v>
      </c>
      <c r="J21" s="8"/>
      <c r="K21" s="7" t="str">
        <f>IF(Configuración!$C$14=0,"",INDEX('Plan semanal'!$C$1:$G$40,4+(Configuración!$D$14-1)*6+3,5)&amp;"")</f>
        <v>CAL · Actualizar procedimientos</v>
      </c>
      <c r="L21" s="8"/>
      <c r="M21" s="68"/>
    </row>
    <row r="22" spans="1:13" ht="63.75" customHeight="1">
      <c r="A22" s="66"/>
      <c r="B22" s="4" t="s">
        <v>19</v>
      </c>
      <c r="C22" s="7" t="str">
        <f>IF(Configuración!$C$14=0,"",INDEX('Plan semanal'!$C$1:$G$40,4+(Configuración!$D$14-1)*6+4,1)&amp;"")</f>
        <v>CAL · Autoinspección BPAD por área (rotativa): orden, rotulación, segregación, FEFO</v>
      </c>
      <c r="D22" s="8"/>
      <c r="E22" s="7" t="str">
        <f>IF(Configuración!$C$14=0,"",INDEX('Plan semanal'!$C$1:$G$40,4+(Configuración!$D$14-1)*6+4,2)&amp;"")</f>
        <v>EQP · 16:00 a 17:00 reunión Equipo Droguería</v>
      </c>
      <c r="F22" s="8"/>
      <c r="G22" s="7" t="str">
        <f>IF(Configuración!$C$14=0,"",INDEX('Plan semanal'!$C$1:$G$40,4+(Configuración!$D$14-1)*6+4,3)&amp;"")</f>
        <v>ADM · Facturas firmadas listas para Finanzas</v>
      </c>
      <c r="H22" s="8"/>
      <c r="I22" s="7" t="str">
        <f>IF(Configuración!$C$14=0,"",INDEX('Plan semanal'!$C$1:$G$40,4+(Configuración!$D$14-1)*6+4,4)&amp;"")</f>
        <v>REC · Planificar recepciones semanas 4 y 1: espacio, personal, control de T°/HR y agenda CENABAST</v>
      </c>
      <c r="J22" s="8"/>
      <c r="K22" s="7" t="str">
        <f>IF(Configuración!$C$14=0,"",INDEX('Plan semanal'!$C$1:$G$40,4+(Configuración!$D$14-1)*6+4,5)&amp;"")</f>
        <v>ADM · Indicadores del mes: quiebres de stock, mermas, excursiones de T°, cumplimiento de despachos</v>
      </c>
      <c r="L22" s="8"/>
      <c r="M22" s="68"/>
    </row>
    <row r="23" spans="1:13" ht="7.5" customHeight="1"/>
    <row r="24" spans="1:13" ht="19.5" customHeight="1">
      <c r="A24" s="66" t="str">
        <f>"SEMANA 4"</f>
        <v>SEMANA 4</v>
      </c>
      <c r="B24" s="67" t="str">
        <f>IF(Configuración!$C$15=0,"No aplica este mes","Plan Semana "&amp;Configuración!$D$15&amp;" · "&amp;INDEX('Plan semanal'!$B$1:$B$40,4+(Configuración!$D$15-1)*6))</f>
        <v>Plan Semana 4 · RECEPCIÓN DE CENABAST</v>
      </c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3" t="s">
        <v>15</v>
      </c>
    </row>
    <row r="25" spans="1:13" ht="16.5" customHeight="1">
      <c r="A25" s="66"/>
      <c r="B25" s="4" t="s">
        <v>16</v>
      </c>
      <c r="C25" s="5">
        <f>Configuración!$B$15+0</f>
        <v>46349</v>
      </c>
      <c r="D25" s="6">
        <f>C25</f>
        <v>46349</v>
      </c>
      <c r="E25" s="5">
        <f>Configuración!$B$15+1</f>
        <v>46350</v>
      </c>
      <c r="F25" s="6">
        <f>E25</f>
        <v>46350</v>
      </c>
      <c r="G25" s="5">
        <f>Configuración!$B$15+2</f>
        <v>46351</v>
      </c>
      <c r="H25" s="6">
        <f>G25</f>
        <v>46351</v>
      </c>
      <c r="I25" s="5">
        <f>Configuración!$B$15+3</f>
        <v>46352</v>
      </c>
      <c r="J25" s="6">
        <f>I25</f>
        <v>46352</v>
      </c>
      <c r="K25" s="5">
        <f>Configuración!$B$15+4</f>
        <v>46353</v>
      </c>
      <c r="L25" s="6">
        <f>K25</f>
        <v>46353</v>
      </c>
      <c r="M25" s="68">
        <f>IFERROR(((COUNTIF(Configuración!$M$4:$M$80,C$25)=0)*(D27="✓")+(COUNTIF(Configuración!$M$4:$M$80,C$25)=0)*(D28="✓")+(COUNTIF(Configuración!$M$4:$M$80,E$25)=0)*(F27="✓")+(COUNTIF(Configuración!$M$4:$M$80,E$25)=0)*(F28="✓")+(COUNTIF(Configuración!$M$4:$M$80,G$25)=0)*(H27="✓")+(COUNTIF(Configuración!$M$4:$M$80,G$25)=0)*(H28="✓")+(COUNTIF(Configuración!$M$4:$M$80,I$25)=0)*(J27="✓")+(COUNTIF(Configuración!$M$4:$M$80,I$25)=0)*(J28="✓")+(COUNTIF(Configuración!$M$4:$M$80,K$25)=0)*(L27="✓")+(COUNTIF(Configuración!$M$4:$M$80,K$25)=0)*(L28="✓"))/((COUNTIF(Configuración!$M$4:$M$80,C$25)=0)*(C27&lt;&gt;"")*(D27&lt;&gt;"N/A")+(COUNTIF(Configuración!$M$4:$M$80,C$25)=0)*(C28&lt;&gt;"")*(D28&lt;&gt;"N/A")+(COUNTIF(Configuración!$M$4:$M$80,E$25)=0)*(E27&lt;&gt;"")*(F27&lt;&gt;"N/A")+(COUNTIF(Configuración!$M$4:$M$80,E$25)=0)*(E28&lt;&gt;"")*(F28&lt;&gt;"N/A")+(COUNTIF(Configuración!$M$4:$M$80,G$25)=0)*(G27&lt;&gt;"")*(H27&lt;&gt;"N/A")+(COUNTIF(Configuración!$M$4:$M$80,G$25)=0)*(G28&lt;&gt;"")*(H28&lt;&gt;"N/A")+(COUNTIF(Configuración!$M$4:$M$80,I$25)=0)*(I27&lt;&gt;"")*(J27&lt;&gt;"N/A")+(COUNTIF(Configuración!$M$4:$M$80,I$25)=0)*(I28&lt;&gt;"")*(J28&lt;&gt;"N/A")+(COUNTIF(Configuración!$M$4:$M$80,K$25)=0)*(K27&lt;&gt;"")*(L27&lt;&gt;"N/A")+(COUNTIF(Configuración!$M$4:$M$80,K$25)=0)*(K28&lt;&gt;"")*(L28&lt;&gt;"N/A")),"")</f>
        <v>0</v>
      </c>
    </row>
    <row r="26" spans="1:13" ht="30" customHeight="1">
      <c r="A26" s="66"/>
      <c r="B26" s="4" t="s">
        <v>17</v>
      </c>
      <c r="C26" s="69" t="str">
        <f>IF(Configuración!$C$15=0,"",INDEX('Plan semanal'!$C$1:$C$40,4+(Configuración!$D$15-1)*6+2)&amp;"")</f>
        <v>T° y HR AM/PM en bodegas · Recepción técnica y liberación de cuarentena · Revisión de alertas ISP / retiros del mercado</v>
      </c>
      <c r="D26" s="69"/>
      <c r="E26" s="69"/>
      <c r="F26" s="69"/>
      <c r="G26" s="69"/>
      <c r="H26" s="69"/>
      <c r="I26" s="69"/>
      <c r="J26" s="69"/>
      <c r="K26" s="69"/>
      <c r="L26" s="69"/>
      <c r="M26" s="68"/>
    </row>
    <row r="27" spans="1:13" ht="63.75" customHeight="1">
      <c r="A27" s="66"/>
      <c r="B27" s="4" t="s">
        <v>18</v>
      </c>
      <c r="C27" s="7" t="str">
        <f>IF(Configuración!$C$15=0,"",INDEX('Plan semanal'!$C$1:$G$40,4+(Configuración!$D$15-1)*6+3,1)&amp;"")</f>
        <v>REC · Recepción CENABAST: inspección de lotes, vencimientos, T° de transporte y documentación</v>
      </c>
      <c r="D27" s="8"/>
      <c r="E27" s="7" t="str">
        <f>IF(Configuración!$C$15=0,"",INDEX('Plan semanal'!$C$1:$G$40,4+(Configuración!$D$15-1)*6+3,2)&amp;"")</f>
        <v>REC · Críticos + PE</v>
      </c>
      <c r="F27" s="8"/>
      <c r="G27" s="7" t="str">
        <f>IF(Configuración!$C$15=0,"",INDEX('Plan semanal'!$C$1:$G$40,4+(Configuración!$D$15-1)*6+3,3)&amp;"")</f>
        <v/>
      </c>
      <c r="H27" s="8"/>
      <c r="I27" s="7" t="str">
        <f>IF(Configuración!$C$15=0,"",INDEX('Plan semanal'!$C$1:$G$40,4+(Configuración!$D$15-1)*6+3,4)&amp;"")</f>
        <v>REC · Críticos + PE</v>
      </c>
      <c r="J27" s="8"/>
      <c r="K27" s="7" t="str">
        <f>IF(Configuración!$C$15=0,"",INDEX('Plan semanal'!$C$1:$G$40,4+(Configuración!$D$15-1)*6+3,5)&amp;"")</f>
        <v>CAL · Liberar cuarentena pendiente y verificar ubicación/rotulación (FEFO)</v>
      </c>
      <c r="L27" s="8"/>
      <c r="M27" s="68"/>
    </row>
    <row r="28" spans="1:13" ht="63.75" customHeight="1">
      <c r="A28" s="66"/>
      <c r="B28" s="4" t="s">
        <v>19</v>
      </c>
      <c r="C28" s="7" t="str">
        <f>IF(Configuración!$C$15=0,"",INDEX('Plan semanal'!$C$1:$G$40,4+(Configuración!$D$15-1)*6+4,1)&amp;"")</f>
        <v>TEM · Vigilar T° y HR de bodegas durante la recepción (puertas abiertas, sobreocupación) y aplicar CAPA si hay excursión</v>
      </c>
      <c r="D28" s="8"/>
      <c r="E28" s="7" t="str">
        <f>IF(Configuración!$C$15=0,"",INDEX('Plan semanal'!$C$1:$G$40,4+(Configuración!$D$15-1)*6+4,2)&amp;"")</f>
        <v>REC · No conformidades de recepción (faltantes, daños, T° fuera de rango) → reclamo a CENABAST/proveedor</v>
      </c>
      <c r="F28" s="8"/>
      <c r="G28" s="7" t="str">
        <f>IF(Configuración!$C$15=0,"",INDEX('Plan semanal'!$C$1:$G$40,4+(Configuración!$D$15-1)*6+4,3)&amp;"")</f>
        <v>ADM · Facturas firmadas listas para Finanzas</v>
      </c>
      <c r="H28" s="8"/>
      <c r="I28" s="7" t="str">
        <f>IF(Configuración!$C$15=0,"",INDEX('Plan semanal'!$C$1:$G$40,4+(Configuración!$D$15-1)*6+4,4)&amp;"")</f>
        <v/>
      </c>
      <c r="J28" s="8"/>
      <c r="K28" s="7" t="str">
        <f>IF(Configuración!$C$15=0,"",INDEX('Plan semanal'!$C$1:$G$40,4+(Configuración!$D$15-1)*6+4,5)&amp;"")</f>
        <v>ADM · Cierre de mes: guías, documentos de despacho y stock cuadrados</v>
      </c>
      <c r="L28" s="8"/>
      <c r="M28" s="68"/>
    </row>
    <row r="29" spans="1:13" ht="7.5" customHeight="1"/>
    <row r="30" spans="1:13" ht="19.5" customHeight="1">
      <c r="A30" s="66" t="str">
        <f>"SEMANA 5"</f>
        <v>SEMANA 5</v>
      </c>
      <c r="B30" s="67" t="str">
        <f>IF(Configuración!$C$16=0,"No aplica este mes","Plan Semana "&amp;Configuración!$D$16&amp;" · "&amp;INDEX('Plan semanal'!$B$1:$B$40,4+(Configuración!$D$16-1)*6))</f>
        <v>No aplica este mes</v>
      </c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3" t="s">
        <v>15</v>
      </c>
    </row>
    <row r="31" spans="1:13" ht="16.5" customHeight="1">
      <c r="A31" s="66"/>
      <c r="B31" s="4" t="s">
        <v>16</v>
      </c>
      <c r="C31" s="5">
        <f>Configuración!$B$16+0</f>
        <v>46356</v>
      </c>
      <c r="D31" s="6">
        <f>C31</f>
        <v>46356</v>
      </c>
      <c r="E31" s="5">
        <f>Configuración!$B$16+1</f>
        <v>46357</v>
      </c>
      <c r="F31" s="6">
        <f>E31</f>
        <v>46357</v>
      </c>
      <c r="G31" s="5">
        <f>Configuración!$B$16+2</f>
        <v>46358</v>
      </c>
      <c r="H31" s="6">
        <f>G31</f>
        <v>46358</v>
      </c>
      <c r="I31" s="5">
        <f>Configuración!$B$16+3</f>
        <v>46359</v>
      </c>
      <c r="J31" s="6">
        <f>I31</f>
        <v>46359</v>
      </c>
      <c r="K31" s="5">
        <f>Configuración!$B$16+4</f>
        <v>46360</v>
      </c>
      <c r="L31" s="6">
        <f>K31</f>
        <v>46360</v>
      </c>
      <c r="M31" s="68" t="str">
        <f>IFERROR(((COUNTIF(Configuración!$M$4:$M$80,C$31)=0)*(D33="✓")+(COUNTIF(Configuración!$M$4:$M$80,C$31)=0)*(D34="✓")+(COUNTIF(Configuración!$M$4:$M$80,E$31)=0)*(F33="✓")+(COUNTIF(Configuración!$M$4:$M$80,E$31)=0)*(F34="✓")+(COUNTIF(Configuración!$M$4:$M$80,G$31)=0)*(H33="✓")+(COUNTIF(Configuración!$M$4:$M$80,G$31)=0)*(H34="✓")+(COUNTIF(Configuración!$M$4:$M$80,I$31)=0)*(J33="✓")+(COUNTIF(Configuración!$M$4:$M$80,I$31)=0)*(J34="✓")+(COUNTIF(Configuración!$M$4:$M$80,K$31)=0)*(L33="✓")+(COUNTIF(Configuración!$M$4:$M$80,K$31)=0)*(L34="✓"))/((COUNTIF(Configuración!$M$4:$M$80,C$31)=0)*(C33&lt;&gt;"")*(D33&lt;&gt;"N/A")+(COUNTIF(Configuración!$M$4:$M$80,C$31)=0)*(C34&lt;&gt;"")*(D34&lt;&gt;"N/A")+(COUNTIF(Configuración!$M$4:$M$80,E$31)=0)*(E33&lt;&gt;"")*(F33&lt;&gt;"N/A")+(COUNTIF(Configuración!$M$4:$M$80,E$31)=0)*(E34&lt;&gt;"")*(F34&lt;&gt;"N/A")+(COUNTIF(Configuración!$M$4:$M$80,G$31)=0)*(G33&lt;&gt;"")*(H33&lt;&gt;"N/A")+(COUNTIF(Configuración!$M$4:$M$80,G$31)=0)*(G34&lt;&gt;"")*(H34&lt;&gt;"N/A")+(COUNTIF(Configuración!$M$4:$M$80,I$31)=0)*(I33&lt;&gt;"")*(J33&lt;&gt;"N/A")+(COUNTIF(Configuración!$M$4:$M$80,I$31)=0)*(I34&lt;&gt;"")*(J34&lt;&gt;"N/A")+(COUNTIF(Configuración!$M$4:$M$80,K$31)=0)*(K33&lt;&gt;"")*(L33&lt;&gt;"N/A")+(COUNTIF(Configuración!$M$4:$M$80,K$31)=0)*(K34&lt;&gt;"")*(L34&lt;&gt;"N/A")),"")</f>
        <v/>
      </c>
    </row>
    <row r="32" spans="1:13" ht="30" customHeight="1">
      <c r="A32" s="66"/>
      <c r="B32" s="4" t="s">
        <v>17</v>
      </c>
      <c r="C32" s="69" t="str">
        <f>IF(Configuración!$C$16=0,"",INDEX('Plan semanal'!$C$1:$C$40,4+(Configuración!$D$16-1)*6+2)&amp;"")</f>
        <v/>
      </c>
      <c r="D32" s="69"/>
      <c r="E32" s="69"/>
      <c r="F32" s="69"/>
      <c r="G32" s="69"/>
      <c r="H32" s="69"/>
      <c r="I32" s="69"/>
      <c r="J32" s="69"/>
      <c r="K32" s="69"/>
      <c r="L32" s="69"/>
      <c r="M32" s="68"/>
    </row>
    <row r="33" spans="1:13" ht="63.75" customHeight="1">
      <c r="A33" s="66"/>
      <c r="B33" s="4" t="s">
        <v>18</v>
      </c>
      <c r="C33" s="7" t="str">
        <f>IF(Configuración!$C$16=0,"",INDEX('Plan semanal'!$C$1:$G$40,4+(Configuración!$D$16-1)*6+3,1)&amp;"")</f>
        <v/>
      </c>
      <c r="D33" s="8"/>
      <c r="E33" s="7" t="str">
        <f>IF(Configuración!$C$16=0,"",INDEX('Plan semanal'!$C$1:$G$40,4+(Configuración!$D$16-1)*6+3,2)&amp;"")</f>
        <v/>
      </c>
      <c r="F33" s="8"/>
      <c r="G33" s="7" t="str">
        <f>IF(Configuración!$C$16=0,"",INDEX('Plan semanal'!$C$1:$G$40,4+(Configuración!$D$16-1)*6+3,3)&amp;"")</f>
        <v/>
      </c>
      <c r="H33" s="8"/>
      <c r="I33" s="7" t="str">
        <f>IF(Configuración!$C$16=0,"",INDEX('Plan semanal'!$C$1:$G$40,4+(Configuración!$D$16-1)*6+3,4)&amp;"")</f>
        <v/>
      </c>
      <c r="J33" s="8"/>
      <c r="K33" s="7" t="str">
        <f>IF(Configuración!$C$16=0,"",INDEX('Plan semanal'!$C$1:$G$40,4+(Configuración!$D$16-1)*6+3,5)&amp;"")</f>
        <v/>
      </c>
      <c r="L33" s="8"/>
      <c r="M33" s="68"/>
    </row>
    <row r="34" spans="1:13" ht="63.75" customHeight="1">
      <c r="A34" s="66"/>
      <c r="B34" s="4" t="s">
        <v>19</v>
      </c>
      <c r="C34" s="7" t="str">
        <f>IF(Configuración!$C$16=0,"",INDEX('Plan semanal'!$C$1:$G$40,4+(Configuración!$D$16-1)*6+4,1)&amp;"")</f>
        <v/>
      </c>
      <c r="D34" s="8"/>
      <c r="E34" s="7" t="str">
        <f>IF(Configuración!$C$16=0,"",INDEX('Plan semanal'!$C$1:$G$40,4+(Configuración!$D$16-1)*6+4,2)&amp;"")</f>
        <v/>
      </c>
      <c r="F34" s="8"/>
      <c r="G34" s="7" t="str">
        <f>IF(Configuración!$C$16=0,"",INDEX('Plan semanal'!$C$1:$G$40,4+(Configuración!$D$16-1)*6+4,3)&amp;"")</f>
        <v/>
      </c>
      <c r="H34" s="8"/>
      <c r="I34" s="7" t="str">
        <f>IF(Configuración!$C$16=0,"",INDEX('Plan semanal'!$C$1:$G$40,4+(Configuración!$D$16-1)*6+4,4)&amp;"")</f>
        <v/>
      </c>
      <c r="J34" s="8"/>
      <c r="K34" s="7" t="str">
        <f>IF(Configuración!$C$16=0,"",INDEX('Plan semanal'!$C$1:$G$40,4+(Configuración!$D$16-1)*6+4,5)&amp;"")</f>
        <v/>
      </c>
      <c r="L34" s="8"/>
      <c r="M34" s="68"/>
    </row>
    <row r="35" spans="1:13" ht="7.5" customHeight="1"/>
    <row r="36" spans="1:13" ht="21.75" customHeight="1">
      <c r="A36" s="70" t="s">
        <v>20</v>
      </c>
      <c r="B36" s="70"/>
      <c r="C36" s="71" t="str">
        <f>IF(_xlfn.TEXTJOIN("  ·  ",TRUE(),Periódicas!$Q$5:$Q$22)="","Sin tareas periódicas este mes",_xlfn.TEXTJOIN("  ·  ",TRUE(),Periódicas!$Q$5:$Q$22))</f>
        <v>Simulacro plan de contingencia de T°/HR (corte de energía / falla de AC)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</row>
    <row r="37" spans="1:13" ht="21.75" customHeight="1">
      <c r="A37" s="70"/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</row>
  </sheetData>
  <mergeCells count="38">
    <mergeCell ref="A1:M1"/>
    <mergeCell ref="C2:D2"/>
    <mergeCell ref="F2:G2"/>
    <mergeCell ref="H2:J2"/>
    <mergeCell ref="K2:L2"/>
    <mergeCell ref="A3:B4"/>
    <mergeCell ref="C3:D3"/>
    <mergeCell ref="E3:F3"/>
    <mergeCell ref="G3:H3"/>
    <mergeCell ref="I3:J3"/>
    <mergeCell ref="K3:L3"/>
    <mergeCell ref="C4:D4"/>
    <mergeCell ref="E4:F4"/>
    <mergeCell ref="G4:H4"/>
    <mergeCell ref="I4:J4"/>
    <mergeCell ref="K4:L4"/>
    <mergeCell ref="A6:A10"/>
    <mergeCell ref="B6:L6"/>
    <mergeCell ref="M7:M10"/>
    <mergeCell ref="C8:L8"/>
    <mergeCell ref="A12:A16"/>
    <mergeCell ref="B12:L12"/>
    <mergeCell ref="M13:M16"/>
    <mergeCell ref="C14:L14"/>
    <mergeCell ref="A18:A22"/>
    <mergeCell ref="B18:L18"/>
    <mergeCell ref="M19:M22"/>
    <mergeCell ref="C20:L20"/>
    <mergeCell ref="A24:A28"/>
    <mergeCell ref="B24:L24"/>
    <mergeCell ref="M25:M28"/>
    <mergeCell ref="C26:L26"/>
    <mergeCell ref="A30:A34"/>
    <mergeCell ref="B30:L30"/>
    <mergeCell ref="M31:M34"/>
    <mergeCell ref="C32:L32"/>
    <mergeCell ref="A36:B37"/>
    <mergeCell ref="C36:M37"/>
  </mergeCells>
  <conditionalFormatting sqref="C9:C10 E9:E10 G9:G10 I9:I10 K9:K10 C15:C16 E15:E16 G15:G16 I15:I16 K15:K16 C21:C22 E21:E22 G21:G22 I21:I22 K21:K22 C27:C28 E27:E28 G27:G28 I27:I28 K27:K28 C33:C34 E33:E34 G33:G34 I33:I34 K33:K34">
    <cfRule type="expression" dxfId="72" priority="33">
      <formula>LEFT(C9,3)="REC"</formula>
    </cfRule>
    <cfRule type="expression" dxfId="71" priority="34">
      <formula>LEFT(C9,3)="TEM"</formula>
    </cfRule>
    <cfRule type="expression" dxfId="70" priority="35">
      <formula>LEFT(C9,3)="INV"</formula>
    </cfRule>
    <cfRule type="expression" dxfId="69" priority="36">
      <formula>LEFT(C9,3)="CTR"</formula>
    </cfRule>
    <cfRule type="expression" dxfId="68" priority="37">
      <formula>LEFT(C9,3)="CAL"</formula>
    </cfRule>
    <cfRule type="expression" dxfId="67" priority="38">
      <formula>LEFT(C9,3)="REG"</formula>
    </cfRule>
    <cfRule type="expression" dxfId="66" priority="39">
      <formula>LEFT(C9,3)="ADM"</formula>
    </cfRule>
    <cfRule type="expression" dxfId="65" priority="40">
      <formula>LEFT(C9,3)="EQP"</formula>
    </cfRule>
  </conditionalFormatting>
  <conditionalFormatting sqref="C33:C34 E33:E34 G33:G34 I33:I34 K33:K34 C27:C28 E27:E28 G27:G28 I27:I28 K27:K28 C21:C22 E21:E22 G21:G22 I21:I22 K21:K22 C15:C16 E15:E16 G15:G16 I15:I16 K15:K16 C9:C10 E9:E10 G9:G10 I9:I10 K9:K10">
    <cfRule type="expression" dxfId="64" priority="32">
      <formula>D9="✓"</formula>
    </cfRule>
  </conditionalFormatting>
  <conditionalFormatting sqref="M7">
    <cfRule type="expression" dxfId="43" priority="41">
      <formula>AND(M7&lt;&gt;"",M7&gt;=0.9)</formula>
    </cfRule>
    <cfRule type="expression" dxfId="42" priority="42">
      <formula>AND(M7&lt;&gt;"",M7&lt;0.5)</formula>
    </cfRule>
  </conditionalFormatting>
  <conditionalFormatting sqref="M13">
    <cfRule type="expression" dxfId="41" priority="43">
      <formula>AND(M13&lt;&gt;"",M13&gt;=0.9)</formula>
    </cfRule>
    <cfRule type="expression" dxfId="40" priority="44">
      <formula>AND(M13&lt;&gt;"",M13&lt;0.5)</formula>
    </cfRule>
  </conditionalFormatting>
  <conditionalFormatting sqref="M19">
    <cfRule type="expression" dxfId="39" priority="45">
      <formula>AND(M19&lt;&gt;"",M19&gt;=0.9)</formula>
    </cfRule>
    <cfRule type="expression" dxfId="38" priority="46">
      <formula>AND(M19&lt;&gt;"",M19&lt;0.5)</formula>
    </cfRule>
  </conditionalFormatting>
  <conditionalFormatting sqref="M25">
    <cfRule type="expression" dxfId="37" priority="47">
      <formula>AND(M25&lt;&gt;"",M25&gt;=0.9)</formula>
    </cfRule>
    <cfRule type="expression" dxfId="36" priority="48">
      <formula>AND(M25&lt;&gt;"",M25&lt;0.5)</formula>
    </cfRule>
  </conditionalFormatting>
  <conditionalFormatting sqref="M31">
    <cfRule type="expression" dxfId="35" priority="49">
      <formula>AND(M31&lt;&gt;"",M31&gt;=0.9)</formula>
    </cfRule>
    <cfRule type="expression" dxfId="34" priority="50">
      <formula>AND(M31&lt;&gt;"",M31&lt;0.5)</formula>
    </cfRule>
  </conditionalFormatting>
  <dataValidations count="3">
    <dataValidation type="whole" sqref="F2" xr:uid="{00000000-0002-0000-0000-000001000000}">
      <formula1>2024</formula1>
      <formula2>2040</formula2>
    </dataValidation>
    <dataValidation type="list" sqref="K2" xr:uid="{00000000-0002-0000-0000-000002000000}">
      <formula1>"2,3"</formula1>
      <formula2>0</formula2>
    </dataValidation>
    <dataValidation type="list" allowBlank="1" sqref="D9:D10 F9:F10 H9:H10 J9:J10 L9:L10 D15:D16 F15:F16 H15:H16 J15:J16 L15:L16 D21:D22 F21:F22 H21:H22 J21:J22 L21:L22 D27:D28 F27:F28 H27:H28 J27:J28 L27:L28 D33:D34 F33:F34 H33:H34 J33:J34 L33:L34" xr:uid="{00000000-0002-0000-0000-000003000000}">
      <formula1>"✓,✗,N/A"</formula1>
      <formula2>0</formula2>
    </dataValidation>
  </dataValidations>
  <printOptions horizontalCentered="1"/>
  <pageMargins left="0.3" right="0.3" top="0.4" bottom="0.4" header="0.511811023622047" footer="0.511811023622047"/>
  <pageSetup fitToHeight="0" orientation="landscape" horizontalDpi="300" verticalDpi="300"/>
  <rowBreaks count="1" manualBreakCount="1">
    <brk id="23" max="16383" man="1"/>
  </rowBreaks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000-000002000000}">
            <xm:f>Configuración!$C$12=0</xm:f>
            <x14:dxf>
              <fill>
                <patternFill>
                  <bgColor rgb="FFBFBFBF"/>
                </patternFill>
              </fill>
            </x14:dxf>
          </x14:cfRule>
          <x14:cfRule type="expression" priority="3" id="{00000000-000E-0000-0000-000003000000}">
            <xm:f>OR(Configuración!$D$12=1,Configuración!$D$12=4)</xm:f>
            <x14:dxf>
              <fill>
                <patternFill>
                  <bgColor rgb="FFC65911"/>
                </patternFill>
              </fill>
            </x14:dxf>
          </x14:cfRule>
          <xm:sqref>B6:L6</xm:sqref>
        </x14:conditionalFormatting>
        <x14:conditionalFormatting xmlns:xm="http://schemas.microsoft.com/office/excel/2006/main">
          <x14:cfRule type="expression" priority="8" id="{00000000-000E-0000-0000-000008000000}">
            <xm:f>Configuración!$C$13=0</xm:f>
            <x14:dxf>
              <fill>
                <patternFill>
                  <bgColor rgb="FFBFBFBF"/>
                </patternFill>
              </fill>
            </x14:dxf>
          </x14:cfRule>
          <x14:cfRule type="expression" priority="9" id="{00000000-000E-0000-0000-000009000000}">
            <xm:f>OR(Configuración!$D$13=1,Configuración!$D$13=4)</xm:f>
            <x14:dxf>
              <fill>
                <patternFill>
                  <bgColor rgb="FFC65911"/>
                </patternFill>
              </fill>
            </x14:dxf>
          </x14:cfRule>
          <xm:sqref>B12:L12</xm:sqref>
        </x14:conditionalFormatting>
        <x14:conditionalFormatting xmlns:xm="http://schemas.microsoft.com/office/excel/2006/main">
          <x14:cfRule type="expression" priority="14" id="{00000000-000E-0000-0000-00000E000000}">
            <xm:f>Configuración!$C$14=0</xm:f>
            <x14:dxf>
              <fill>
                <patternFill>
                  <bgColor rgb="FFBFBFBF"/>
                </patternFill>
              </fill>
            </x14:dxf>
          </x14:cfRule>
          <x14:cfRule type="expression" priority="15" id="{00000000-000E-0000-0000-00000F000000}">
            <xm:f>OR(Configuración!$D$14=1,Configuración!$D$14=4)</xm:f>
            <x14:dxf>
              <fill>
                <patternFill>
                  <bgColor rgb="FFC65911"/>
                </patternFill>
              </fill>
            </x14:dxf>
          </x14:cfRule>
          <xm:sqref>B18:L18</xm:sqref>
        </x14:conditionalFormatting>
        <x14:conditionalFormatting xmlns:xm="http://schemas.microsoft.com/office/excel/2006/main">
          <x14:cfRule type="expression" priority="20" id="{00000000-000E-0000-0000-000014000000}">
            <xm:f>Configuración!$C$15=0</xm:f>
            <x14:dxf>
              <fill>
                <patternFill>
                  <bgColor rgb="FFBFBFBF"/>
                </patternFill>
              </fill>
            </x14:dxf>
          </x14:cfRule>
          <x14:cfRule type="expression" priority="21" id="{00000000-000E-0000-0000-000015000000}">
            <xm:f>OR(Configuración!$D$15=1,Configuración!$D$15=4)</xm:f>
            <x14:dxf>
              <fill>
                <patternFill>
                  <bgColor rgb="FFC65911"/>
                </patternFill>
              </fill>
            </x14:dxf>
          </x14:cfRule>
          <xm:sqref>B24:L24</xm:sqref>
        </x14:conditionalFormatting>
        <x14:conditionalFormatting xmlns:xm="http://schemas.microsoft.com/office/excel/2006/main">
          <x14:cfRule type="expression" priority="26" id="{00000000-000E-0000-0000-00001A000000}">
            <xm:f>Configuración!$C$16=0</xm:f>
            <x14:dxf>
              <fill>
                <patternFill>
                  <bgColor rgb="FFBFBFBF"/>
                </patternFill>
              </fill>
            </x14:dxf>
          </x14:cfRule>
          <x14:cfRule type="expression" priority="27" id="{00000000-000E-0000-0000-00001B000000}">
            <xm:f>OR(Configuración!$D$16=1,Configuración!$D$16=4)</xm:f>
            <x14:dxf>
              <fill>
                <patternFill>
                  <bgColor rgb="FFC65911"/>
                </patternFill>
              </fill>
            </x14:dxf>
          </x14:cfRule>
          <xm:sqref>B30:L30</xm:sqref>
        </x14:conditionalFormatting>
        <x14:conditionalFormatting xmlns:xm="http://schemas.microsoft.com/office/excel/2006/main">
          <x14:cfRule type="expression" priority="4" id="{00000000-000E-0000-0000-000004000000}">
            <xm:f>Configuración!$C$12=0</xm:f>
            <x14:dxf>
              <font>
                <color rgb="FFA6A6A6"/>
              </font>
              <fill>
                <patternFill>
                  <bgColor rgb="FFF2F2F2"/>
                </patternFill>
              </fill>
            </x14:dxf>
          </x14:cfRule>
          <x14:cfRule type="expression" priority="5" id="{00000000-000E-0000-0000-000005000000}">
            <xm:f>COUNTIF(Configuración!$M$4:$M$80,C7)&gt;0</xm:f>
            <x14:dxf>
              <font>
                <b/>
                <color rgb="FFFFFFFF"/>
              </font>
              <fill>
                <patternFill>
                  <bgColor rgb="FFC00000"/>
                </patternFill>
              </fill>
            </x14:dxf>
          </x14:cfRule>
          <x14:cfRule type="expression" priority="6" id="{00000000-000E-0000-0000-000006000000}">
            <xm:f>MONTH(C7)&lt;&gt;Configuración!$B$4</xm:f>
            <x14:dxf>
              <font>
                <i/>
                <color rgb="FF808080"/>
              </font>
              <fill>
                <patternFill>
                  <bgColor rgb="FFF2F2F2"/>
                </patternFill>
              </fill>
            </x14:dxf>
          </x14:cfRule>
          <xm:sqref>C7:L7</xm:sqref>
        </x14:conditionalFormatting>
        <x14:conditionalFormatting xmlns:xm="http://schemas.microsoft.com/office/excel/2006/main">
          <x14:cfRule type="expression" priority="7" id="{00000000-000E-0000-0000-000007000000}">
            <xm:f>COUNTIF(Configuración!$M$4:$M$80,C$7)&gt;0</xm:f>
            <x14:dxf>
              <font>
                <i/>
                <color rgb="FFA6A6A6"/>
              </font>
              <fill>
                <patternFill>
                  <bgColor rgb="FFF2F2F2"/>
                </patternFill>
              </fill>
            </x14:dxf>
          </x14:cfRule>
          <xm:sqref>C9:L10</xm:sqref>
        </x14:conditionalFormatting>
        <x14:conditionalFormatting xmlns:xm="http://schemas.microsoft.com/office/excel/2006/main">
          <x14:cfRule type="expression" priority="10" id="{00000000-000E-0000-0000-00000A000000}">
            <xm:f>Configuración!$C$13=0</xm:f>
            <x14:dxf>
              <font>
                <color rgb="FFA6A6A6"/>
              </font>
              <fill>
                <patternFill>
                  <bgColor rgb="FFF2F2F2"/>
                </patternFill>
              </fill>
            </x14:dxf>
          </x14:cfRule>
          <x14:cfRule type="expression" priority="11" id="{00000000-000E-0000-0000-00000B000000}">
            <xm:f>COUNTIF(Configuración!$M$4:$M$80,C13)&gt;0</xm:f>
            <x14:dxf>
              <font>
                <b/>
                <color rgb="FFFFFFFF"/>
              </font>
              <fill>
                <patternFill>
                  <bgColor rgb="FFC00000"/>
                </patternFill>
              </fill>
            </x14:dxf>
          </x14:cfRule>
          <x14:cfRule type="expression" priority="12" id="{00000000-000E-0000-0000-00000C000000}">
            <xm:f>MONTH(C13)&lt;&gt;Configuración!$B$4</xm:f>
            <x14:dxf>
              <font>
                <i/>
                <color rgb="FF808080"/>
              </font>
              <fill>
                <patternFill>
                  <bgColor rgb="FFF2F2F2"/>
                </patternFill>
              </fill>
            </x14:dxf>
          </x14:cfRule>
          <xm:sqref>C13:L13</xm:sqref>
        </x14:conditionalFormatting>
        <x14:conditionalFormatting xmlns:xm="http://schemas.microsoft.com/office/excel/2006/main">
          <x14:cfRule type="expression" priority="13" id="{00000000-000E-0000-0000-00000D000000}">
            <xm:f>COUNTIF(Configuración!$M$4:$M$80,C$13)&gt;0</xm:f>
            <x14:dxf>
              <font>
                <i/>
                <color rgb="FFA6A6A6"/>
              </font>
              <fill>
                <patternFill>
                  <bgColor rgb="FFF2F2F2"/>
                </patternFill>
              </fill>
            </x14:dxf>
          </x14:cfRule>
          <xm:sqref>C15:L16</xm:sqref>
        </x14:conditionalFormatting>
        <x14:conditionalFormatting xmlns:xm="http://schemas.microsoft.com/office/excel/2006/main">
          <x14:cfRule type="expression" priority="16" id="{00000000-000E-0000-0000-000010000000}">
            <xm:f>Configuración!$C$14=0</xm:f>
            <x14:dxf>
              <font>
                <color rgb="FFA6A6A6"/>
              </font>
              <fill>
                <patternFill>
                  <bgColor rgb="FFF2F2F2"/>
                </patternFill>
              </fill>
            </x14:dxf>
          </x14:cfRule>
          <x14:cfRule type="expression" priority="17" id="{00000000-000E-0000-0000-000011000000}">
            <xm:f>COUNTIF(Configuración!$M$4:$M$80,C19)&gt;0</xm:f>
            <x14:dxf>
              <font>
                <b/>
                <color rgb="FFFFFFFF"/>
              </font>
              <fill>
                <patternFill>
                  <bgColor rgb="FFC00000"/>
                </patternFill>
              </fill>
            </x14:dxf>
          </x14:cfRule>
          <x14:cfRule type="expression" priority="18" id="{00000000-000E-0000-0000-000012000000}">
            <xm:f>MONTH(C19)&lt;&gt;Configuración!$B$4</xm:f>
            <x14:dxf>
              <font>
                <i/>
                <color rgb="FF808080"/>
              </font>
              <fill>
                <patternFill>
                  <bgColor rgb="FFF2F2F2"/>
                </patternFill>
              </fill>
            </x14:dxf>
          </x14:cfRule>
          <xm:sqref>C19:L19</xm:sqref>
        </x14:conditionalFormatting>
        <x14:conditionalFormatting xmlns:xm="http://schemas.microsoft.com/office/excel/2006/main">
          <x14:cfRule type="expression" priority="19" id="{00000000-000E-0000-0000-000013000000}">
            <xm:f>COUNTIF(Configuración!$M$4:$M$80,C$19)&gt;0</xm:f>
            <x14:dxf>
              <font>
                <i/>
                <color rgb="FFA6A6A6"/>
              </font>
              <fill>
                <patternFill>
                  <bgColor rgb="FFF2F2F2"/>
                </patternFill>
              </fill>
            </x14:dxf>
          </x14:cfRule>
          <xm:sqref>C21:L22</xm:sqref>
        </x14:conditionalFormatting>
        <x14:conditionalFormatting xmlns:xm="http://schemas.microsoft.com/office/excel/2006/main">
          <x14:cfRule type="expression" priority="22" id="{00000000-000E-0000-0000-000016000000}">
            <xm:f>Configuración!$C$15=0</xm:f>
            <x14:dxf>
              <font>
                <color rgb="FFA6A6A6"/>
              </font>
              <fill>
                <patternFill>
                  <bgColor rgb="FFF2F2F2"/>
                </patternFill>
              </fill>
            </x14:dxf>
          </x14:cfRule>
          <x14:cfRule type="expression" priority="23" id="{00000000-000E-0000-0000-000017000000}">
            <xm:f>COUNTIF(Configuración!$M$4:$M$80,C25)&gt;0</xm:f>
            <x14:dxf>
              <font>
                <b/>
                <color rgb="FFFFFFFF"/>
              </font>
              <fill>
                <patternFill>
                  <bgColor rgb="FFC00000"/>
                </patternFill>
              </fill>
            </x14:dxf>
          </x14:cfRule>
          <x14:cfRule type="expression" priority="24" id="{00000000-000E-0000-0000-000018000000}">
            <xm:f>MONTH(C25)&lt;&gt;Configuración!$B$4</xm:f>
            <x14:dxf>
              <font>
                <i/>
                <color rgb="FF808080"/>
              </font>
              <fill>
                <patternFill>
                  <bgColor rgb="FFF2F2F2"/>
                </patternFill>
              </fill>
            </x14:dxf>
          </x14:cfRule>
          <xm:sqref>C25:L25</xm:sqref>
        </x14:conditionalFormatting>
        <x14:conditionalFormatting xmlns:xm="http://schemas.microsoft.com/office/excel/2006/main">
          <x14:cfRule type="expression" priority="25" id="{00000000-000E-0000-0000-000019000000}">
            <xm:f>COUNTIF(Configuración!$M$4:$M$80,C$25)&gt;0</xm:f>
            <x14:dxf>
              <font>
                <i/>
                <color rgb="FFA6A6A6"/>
              </font>
              <fill>
                <patternFill>
                  <bgColor rgb="FFF2F2F2"/>
                </patternFill>
              </fill>
            </x14:dxf>
          </x14:cfRule>
          <xm:sqref>C27:L28</xm:sqref>
        </x14:conditionalFormatting>
        <x14:conditionalFormatting xmlns:xm="http://schemas.microsoft.com/office/excel/2006/main">
          <x14:cfRule type="expression" priority="28" id="{00000000-000E-0000-0000-00001C000000}">
            <xm:f>Configuración!$C$16=0</xm:f>
            <x14:dxf>
              <font>
                <color rgb="FFA6A6A6"/>
              </font>
              <fill>
                <patternFill>
                  <bgColor rgb="FFF2F2F2"/>
                </patternFill>
              </fill>
            </x14:dxf>
          </x14:cfRule>
          <x14:cfRule type="expression" priority="29" id="{00000000-000E-0000-0000-00001D000000}">
            <xm:f>COUNTIF(Configuración!$M$4:$M$80,C31)&gt;0</xm:f>
            <x14:dxf>
              <font>
                <b/>
                <color rgb="FFFFFFFF"/>
              </font>
              <fill>
                <patternFill>
                  <bgColor rgb="FFC00000"/>
                </patternFill>
              </fill>
            </x14:dxf>
          </x14:cfRule>
          <x14:cfRule type="expression" priority="30" id="{00000000-000E-0000-0000-00001E000000}">
            <xm:f>MONTH(C31)&lt;&gt;Configuración!$B$4</xm:f>
            <x14:dxf>
              <font>
                <i/>
                <color rgb="FF808080"/>
              </font>
              <fill>
                <patternFill>
                  <bgColor rgb="FFF2F2F2"/>
                </patternFill>
              </fill>
            </x14:dxf>
          </x14:cfRule>
          <xm:sqref>C31:L31</xm:sqref>
        </x14:conditionalFormatting>
        <x14:conditionalFormatting xmlns:xm="http://schemas.microsoft.com/office/excel/2006/main">
          <x14:cfRule type="expression" priority="31" id="{00000000-000E-0000-0000-00001F000000}">
            <xm:f>COUNTIF(Configuración!$M$4:$M$80,C$31)&gt;0</xm:f>
            <x14:dxf>
              <font>
                <i/>
                <color rgb="FFA6A6A6"/>
              </font>
              <fill>
                <patternFill>
                  <bgColor rgb="FFF2F2F2"/>
                </patternFill>
              </fill>
            </x14:dxf>
          </x14:cfRule>
          <xm:sqref>C33:L34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Configuración!$H$4:$H$15</xm:f>
          </x14:formula1>
          <x14:formula2>
            <xm:f>0</xm:f>
          </x14:formula2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65911"/>
    <pageSetUpPr fitToPage="1"/>
  </sheetPr>
  <dimension ref="A1:G27"/>
  <sheetViews>
    <sheetView showGridLines="0" zoomScaleNormal="100" workbookViewId="0">
      <pane ySplit="3" topLeftCell="A16" activePane="bottomLeft" state="frozen"/>
      <selection pane="bottomLeft"/>
    </sheetView>
  </sheetViews>
  <sheetFormatPr baseColWidth="10" defaultColWidth="8.7109375" defaultRowHeight="15"/>
  <cols>
    <col min="1" max="1" width="11" customWidth="1"/>
    <col min="2" max="2" width="9" customWidth="1"/>
    <col min="3" max="7" width="30" customWidth="1"/>
  </cols>
  <sheetData>
    <row r="1" spans="1:7" ht="18">
      <c r="A1" s="9" t="s">
        <v>21</v>
      </c>
    </row>
    <row r="2" spans="1:7" ht="27.75" customHeight="1">
      <c r="A2" s="87" t="s">
        <v>22</v>
      </c>
      <c r="B2" s="87"/>
      <c r="C2" s="87"/>
      <c r="D2" s="87"/>
      <c r="E2" s="87"/>
      <c r="F2" s="87"/>
      <c r="G2" s="87"/>
    </row>
    <row r="4" spans="1:7" ht="19.5" customHeight="1">
      <c r="A4" s="66" t="s">
        <v>23</v>
      </c>
      <c r="B4" s="86" t="s">
        <v>24</v>
      </c>
      <c r="C4" s="86"/>
      <c r="D4" s="86"/>
      <c r="E4" s="86"/>
      <c r="F4" s="86"/>
      <c r="G4" s="86"/>
    </row>
    <row r="5" spans="1:7" ht="15.75" customHeight="1">
      <c r="A5" s="66"/>
      <c r="C5" s="10" t="s">
        <v>25</v>
      </c>
      <c r="D5" s="10" t="s">
        <v>26</v>
      </c>
      <c r="E5" s="10" t="s">
        <v>27</v>
      </c>
      <c r="F5" s="10" t="s">
        <v>28</v>
      </c>
      <c r="G5" s="10" t="s">
        <v>29</v>
      </c>
    </row>
    <row r="6" spans="1:7" ht="30" customHeight="1">
      <c r="A6" s="66"/>
      <c r="B6" s="4" t="s">
        <v>17</v>
      </c>
      <c r="C6" s="69" t="s">
        <v>30</v>
      </c>
      <c r="D6" s="69"/>
      <c r="E6" s="69"/>
      <c r="F6" s="69"/>
      <c r="G6" s="69"/>
    </row>
    <row r="7" spans="1:7" ht="66" customHeight="1">
      <c r="A7" s="66"/>
      <c r="B7" s="4" t="s">
        <v>18</v>
      </c>
      <c r="C7" s="7" t="s">
        <v>31</v>
      </c>
      <c r="D7" s="7" t="s">
        <v>32</v>
      </c>
      <c r="E7" s="7" t="s">
        <v>33</v>
      </c>
      <c r="F7" s="7" t="s">
        <v>34</v>
      </c>
      <c r="G7" s="7" t="s">
        <v>35</v>
      </c>
    </row>
    <row r="8" spans="1:7" ht="66" customHeight="1">
      <c r="A8" s="66"/>
      <c r="B8" s="4" t="s">
        <v>19</v>
      </c>
      <c r="C8" s="7" t="s">
        <v>36</v>
      </c>
      <c r="D8" s="7" t="s">
        <v>37</v>
      </c>
      <c r="E8" s="7" t="s">
        <v>38</v>
      </c>
      <c r="F8" s="7" t="s">
        <v>39</v>
      </c>
      <c r="G8" s="7" t="s">
        <v>40</v>
      </c>
    </row>
    <row r="9" spans="1:7" ht="7.5" customHeight="1"/>
    <row r="10" spans="1:7" ht="19.5" customHeight="1">
      <c r="A10" s="66" t="s">
        <v>41</v>
      </c>
      <c r="B10" s="67" t="s">
        <v>42</v>
      </c>
      <c r="C10" s="67"/>
      <c r="D10" s="67"/>
      <c r="E10" s="67"/>
      <c r="F10" s="67"/>
      <c r="G10" s="67"/>
    </row>
    <row r="11" spans="1:7" ht="15.75" customHeight="1">
      <c r="A11" s="66"/>
      <c r="C11" s="10" t="s">
        <v>25</v>
      </c>
      <c r="D11" s="10" t="s">
        <v>26</v>
      </c>
      <c r="E11" s="10" t="s">
        <v>27</v>
      </c>
      <c r="F11" s="10" t="s">
        <v>28</v>
      </c>
      <c r="G11" s="10" t="s">
        <v>29</v>
      </c>
    </row>
    <row r="12" spans="1:7" ht="30" customHeight="1">
      <c r="A12" s="66"/>
      <c r="B12" s="4" t="s">
        <v>17</v>
      </c>
      <c r="C12" s="69" t="s">
        <v>43</v>
      </c>
      <c r="D12" s="69"/>
      <c r="E12" s="69"/>
      <c r="F12" s="69"/>
      <c r="G12" s="69"/>
    </row>
    <row r="13" spans="1:7" ht="66" customHeight="1">
      <c r="A13" s="66"/>
      <c r="B13" s="4" t="s">
        <v>18</v>
      </c>
      <c r="C13" s="7" t="s">
        <v>44</v>
      </c>
      <c r="D13" s="7" t="s">
        <v>45</v>
      </c>
      <c r="E13" s="7" t="s">
        <v>46</v>
      </c>
      <c r="F13" s="7" t="s">
        <v>47</v>
      </c>
      <c r="G13" s="7" t="s">
        <v>40</v>
      </c>
    </row>
    <row r="14" spans="1:7" ht="66" customHeight="1">
      <c r="A14" s="66"/>
      <c r="B14" s="4" t="s">
        <v>19</v>
      </c>
      <c r="C14" s="7" t="s">
        <v>48</v>
      </c>
      <c r="D14" s="7" t="s">
        <v>49</v>
      </c>
      <c r="E14" s="7" t="s">
        <v>38</v>
      </c>
      <c r="F14" s="7" t="s">
        <v>50</v>
      </c>
      <c r="G14" s="7" t="s">
        <v>51</v>
      </c>
    </row>
    <row r="15" spans="1:7" ht="7.5" customHeight="1"/>
    <row r="16" spans="1:7" ht="19.5" customHeight="1">
      <c r="A16" s="66" t="s">
        <v>52</v>
      </c>
      <c r="B16" s="67" t="s">
        <v>53</v>
      </c>
      <c r="C16" s="67"/>
      <c r="D16" s="67"/>
      <c r="E16" s="67"/>
      <c r="F16" s="67"/>
      <c r="G16" s="67"/>
    </row>
    <row r="17" spans="1:7" ht="15.75" customHeight="1">
      <c r="A17" s="66"/>
      <c r="C17" s="10" t="s">
        <v>25</v>
      </c>
      <c r="D17" s="10" t="s">
        <v>26</v>
      </c>
      <c r="E17" s="10" t="s">
        <v>27</v>
      </c>
      <c r="F17" s="10" t="s">
        <v>28</v>
      </c>
      <c r="G17" s="10" t="s">
        <v>29</v>
      </c>
    </row>
    <row r="18" spans="1:7" ht="30" customHeight="1">
      <c r="A18" s="66"/>
      <c r="B18" s="4" t="s">
        <v>17</v>
      </c>
      <c r="C18" s="69" t="s">
        <v>43</v>
      </c>
      <c r="D18" s="69"/>
      <c r="E18" s="69"/>
      <c r="F18" s="69"/>
      <c r="G18" s="69"/>
    </row>
    <row r="19" spans="1:7" ht="66" customHeight="1">
      <c r="A19" s="66"/>
      <c r="B19" s="4" t="s">
        <v>18</v>
      </c>
      <c r="C19" s="7" t="s">
        <v>54</v>
      </c>
      <c r="D19" s="7" t="s">
        <v>55</v>
      </c>
      <c r="E19" s="7" t="s">
        <v>56</v>
      </c>
      <c r="F19" s="7" t="s">
        <v>57</v>
      </c>
      <c r="G19" s="7" t="s">
        <v>40</v>
      </c>
    </row>
    <row r="20" spans="1:7" ht="66" customHeight="1">
      <c r="A20" s="66"/>
      <c r="B20" s="4" t="s">
        <v>19</v>
      </c>
      <c r="C20" s="7" t="s">
        <v>58</v>
      </c>
      <c r="D20" s="7" t="s">
        <v>59</v>
      </c>
      <c r="E20" s="7" t="s">
        <v>38</v>
      </c>
      <c r="F20" s="7" t="s">
        <v>60</v>
      </c>
      <c r="G20" s="7" t="s">
        <v>61</v>
      </c>
    </row>
    <row r="21" spans="1:7" ht="7.5" customHeight="1"/>
    <row r="22" spans="1:7" ht="19.5" customHeight="1">
      <c r="A22" s="66" t="s">
        <v>62</v>
      </c>
      <c r="B22" s="86" t="s">
        <v>63</v>
      </c>
      <c r="C22" s="86"/>
      <c r="D22" s="86"/>
      <c r="E22" s="86"/>
      <c r="F22" s="86"/>
      <c r="G22" s="86"/>
    </row>
    <row r="23" spans="1:7" ht="15.75" customHeight="1">
      <c r="A23" s="66"/>
      <c r="C23" s="10" t="s">
        <v>25</v>
      </c>
      <c r="D23" s="10" t="s">
        <v>26</v>
      </c>
      <c r="E23" s="10" t="s">
        <v>27</v>
      </c>
      <c r="F23" s="10" t="s">
        <v>28</v>
      </c>
      <c r="G23" s="10" t="s">
        <v>29</v>
      </c>
    </row>
    <row r="24" spans="1:7" ht="30" customHeight="1">
      <c r="A24" s="66"/>
      <c r="B24" s="4" t="s">
        <v>17</v>
      </c>
      <c r="C24" s="69" t="s">
        <v>30</v>
      </c>
      <c r="D24" s="69"/>
      <c r="E24" s="69"/>
      <c r="F24" s="69"/>
      <c r="G24" s="69"/>
    </row>
    <row r="25" spans="1:7" ht="66" customHeight="1">
      <c r="A25" s="66"/>
      <c r="B25" s="4" t="s">
        <v>18</v>
      </c>
      <c r="C25" s="7" t="s">
        <v>64</v>
      </c>
      <c r="D25" s="7" t="s">
        <v>33</v>
      </c>
      <c r="E25" s="7"/>
      <c r="F25" s="7" t="s">
        <v>33</v>
      </c>
      <c r="G25" s="7" t="s">
        <v>65</v>
      </c>
    </row>
    <row r="26" spans="1:7" ht="66" customHeight="1">
      <c r="A26" s="66"/>
      <c r="B26" s="4" t="s">
        <v>19</v>
      </c>
      <c r="C26" s="7" t="s">
        <v>66</v>
      </c>
      <c r="D26" s="7" t="s">
        <v>37</v>
      </c>
      <c r="E26" s="7" t="s">
        <v>38</v>
      </c>
      <c r="F26" s="7"/>
      <c r="G26" s="7" t="s">
        <v>67</v>
      </c>
    </row>
    <row r="27" spans="1:7" ht="7.5" customHeight="1"/>
  </sheetData>
  <mergeCells count="13">
    <mergeCell ref="A2:G2"/>
    <mergeCell ref="A4:A8"/>
    <mergeCell ref="B4:G4"/>
    <mergeCell ref="C6:G6"/>
    <mergeCell ref="A10:A14"/>
    <mergeCell ref="B10:G10"/>
    <mergeCell ref="C12:G12"/>
    <mergeCell ref="A16:A20"/>
    <mergeCell ref="B16:G16"/>
    <mergeCell ref="C18:G18"/>
    <mergeCell ref="A22:A26"/>
    <mergeCell ref="B22:G22"/>
    <mergeCell ref="C24:G24"/>
  </mergeCells>
  <conditionalFormatting sqref="C7:G8 C13:G14 C19:G20 C25:G26">
    <cfRule type="expression" dxfId="33" priority="2">
      <formula>LEFT(C7,3)="REC"</formula>
    </cfRule>
    <cfRule type="expression" dxfId="32" priority="3">
      <formula>LEFT(C7,3)="TEM"</formula>
    </cfRule>
    <cfRule type="expression" dxfId="31" priority="4">
      <formula>LEFT(C7,3)="INV"</formula>
    </cfRule>
    <cfRule type="expression" dxfId="30" priority="5">
      <formula>LEFT(C7,3)="CTR"</formula>
    </cfRule>
    <cfRule type="expression" dxfId="29" priority="6">
      <formula>LEFT(C7,3)="CAL"</formula>
    </cfRule>
    <cfRule type="expression" dxfId="28" priority="7">
      <formula>LEFT(C7,3)="REG"</formula>
    </cfRule>
    <cfRule type="expression" dxfId="27" priority="8">
      <formula>LEFT(C7,3)="ADM"</formula>
    </cfRule>
    <cfRule type="expression" dxfId="26" priority="9">
      <formula>LEFT(C7,3)="EQP"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Q22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15" sqref="F15"/>
    </sheetView>
  </sheetViews>
  <sheetFormatPr baseColWidth="10" defaultColWidth="8.7109375" defaultRowHeight="15"/>
  <cols>
    <col min="1" max="1" width="8" customWidth="1"/>
    <col min="2" max="2" width="58" customWidth="1"/>
    <col min="3" max="3" width="11" customWidth="1"/>
    <col min="4" max="15" width="5" customWidth="1"/>
    <col min="17" max="17" width="13" hidden="1" customWidth="1"/>
  </cols>
  <sheetData>
    <row r="1" spans="1:17" ht="18">
      <c r="A1" s="9" t="s">
        <v>68</v>
      </c>
    </row>
    <row r="2" spans="1:17">
      <c r="A2" s="2" t="s">
        <v>69</v>
      </c>
    </row>
    <row r="4" spans="1:17" ht="25.5">
      <c r="A4" s="11" t="s">
        <v>70</v>
      </c>
      <c r="B4" s="11" t="s">
        <v>71</v>
      </c>
      <c r="C4" s="11" t="s">
        <v>72</v>
      </c>
      <c r="D4" s="11" t="s">
        <v>73</v>
      </c>
      <c r="E4" s="11" t="s">
        <v>74</v>
      </c>
      <c r="F4" s="11" t="s">
        <v>75</v>
      </c>
      <c r="G4" s="11" t="s">
        <v>76</v>
      </c>
      <c r="H4" s="11" t="s">
        <v>77</v>
      </c>
      <c r="I4" s="11" t="s">
        <v>78</v>
      </c>
      <c r="J4" s="11" t="s">
        <v>79</v>
      </c>
      <c r="K4" s="11" t="s">
        <v>80</v>
      </c>
      <c r="L4" s="11" t="s">
        <v>81</v>
      </c>
      <c r="M4" s="11" t="s">
        <v>82</v>
      </c>
      <c r="N4" s="11" t="s">
        <v>83</v>
      </c>
      <c r="O4" s="11" t="s">
        <v>84</v>
      </c>
    </row>
    <row r="5" spans="1:17" ht="25.5" customHeight="1">
      <c r="A5" s="12" t="s">
        <v>85</v>
      </c>
      <c r="B5" s="13" t="s">
        <v>86</v>
      </c>
      <c r="C5" s="13" t="s">
        <v>87</v>
      </c>
      <c r="D5" s="12"/>
      <c r="E5" s="12" t="s">
        <v>88</v>
      </c>
      <c r="F5" s="12"/>
      <c r="G5" s="12"/>
      <c r="H5" s="12"/>
      <c r="I5" s="12"/>
      <c r="J5" s="12" t="s">
        <v>88</v>
      </c>
      <c r="K5" s="12"/>
      <c r="L5" s="12"/>
      <c r="M5" s="12"/>
      <c r="N5" s="12"/>
      <c r="O5" s="12"/>
      <c r="Q5" t="str">
        <f>IF(INDEX($D5:$O5,Configuración!$B$4)="X",B5,"")</f>
        <v/>
      </c>
    </row>
    <row r="6" spans="1:17" ht="25.5" customHeight="1">
      <c r="A6" s="12" t="s">
        <v>85</v>
      </c>
      <c r="B6" s="13" t="s">
        <v>89</v>
      </c>
      <c r="C6" s="13" t="s">
        <v>90</v>
      </c>
      <c r="D6" s="12"/>
      <c r="E6" s="12"/>
      <c r="F6" s="12" t="s">
        <v>88</v>
      </c>
      <c r="G6" s="12"/>
      <c r="H6" s="12"/>
      <c r="I6" s="12"/>
      <c r="J6" s="12"/>
      <c r="K6" s="12"/>
      <c r="L6" s="12"/>
      <c r="M6" s="12"/>
      <c r="N6" s="12"/>
      <c r="O6" s="12"/>
      <c r="Q6" t="str">
        <f>IF(INDEX($D6:$O6,Configuración!$B$4)="X",B6,"")</f>
        <v/>
      </c>
    </row>
    <row r="7" spans="1:17" ht="25.5" customHeight="1">
      <c r="A7" s="12" t="s">
        <v>85</v>
      </c>
      <c r="B7" s="13" t="s">
        <v>91</v>
      </c>
      <c r="C7" s="13" t="s">
        <v>87</v>
      </c>
      <c r="D7" s="12"/>
      <c r="E7" s="12"/>
      <c r="F7" s="12"/>
      <c r="G7" s="12" t="s">
        <v>88</v>
      </c>
      <c r="H7" s="12"/>
      <c r="I7" s="12"/>
      <c r="J7" s="12"/>
      <c r="K7" s="12"/>
      <c r="L7" s="12"/>
      <c r="M7" s="12" t="s">
        <v>88</v>
      </c>
      <c r="N7" s="12"/>
      <c r="O7" s="12"/>
      <c r="Q7" t="str">
        <f>IF(INDEX($D7:$O7,Configuración!$B$4)="X",B7,"")</f>
        <v/>
      </c>
    </row>
    <row r="8" spans="1:17" ht="25.5" customHeight="1">
      <c r="A8" s="12" t="s">
        <v>85</v>
      </c>
      <c r="B8" s="13" t="s">
        <v>92</v>
      </c>
      <c r="C8" s="13" t="s">
        <v>87</v>
      </c>
      <c r="D8" s="12"/>
      <c r="E8" s="12"/>
      <c r="F8" s="12"/>
      <c r="G8" s="12"/>
      <c r="H8" s="12" t="s">
        <v>88</v>
      </c>
      <c r="I8" s="12"/>
      <c r="J8" s="12"/>
      <c r="K8" s="12"/>
      <c r="L8" s="12"/>
      <c r="M8" s="12"/>
      <c r="N8" s="12" t="s">
        <v>88</v>
      </c>
      <c r="O8" s="12"/>
      <c r="Q8" t="str">
        <f>IF(INDEX($D8:$O8,Configuración!$B$4)="X",B8,"")</f>
        <v>Simulacro plan de contingencia de T°/HR (corte de energía / falla de AC)</v>
      </c>
    </row>
    <row r="9" spans="1:17" ht="25.5" customHeight="1">
      <c r="A9" s="12" t="s">
        <v>93</v>
      </c>
      <c r="B9" s="13" t="s">
        <v>94</v>
      </c>
      <c r="C9" s="13" t="s">
        <v>87</v>
      </c>
      <c r="D9" s="12" t="s">
        <v>88</v>
      </c>
      <c r="E9" s="12"/>
      <c r="F9" s="12"/>
      <c r="G9" s="12"/>
      <c r="H9" s="12"/>
      <c r="I9" s="12"/>
      <c r="J9" s="12" t="s">
        <v>88</v>
      </c>
      <c r="K9" s="12"/>
      <c r="L9" s="12"/>
      <c r="M9" s="12"/>
      <c r="N9" s="12"/>
      <c r="O9" s="12"/>
      <c r="Q9" t="str">
        <f>IF(INDEX($D9:$O9,Configuración!$B$4)="X",B9,"")</f>
        <v/>
      </c>
    </row>
    <row r="10" spans="1:17" ht="25.5" customHeight="1">
      <c r="A10" s="12" t="s">
        <v>95</v>
      </c>
      <c r="B10" s="13" t="s">
        <v>96</v>
      </c>
      <c r="C10" s="13" t="s">
        <v>87</v>
      </c>
      <c r="D10" s="12"/>
      <c r="E10" s="12"/>
      <c r="F10" s="12"/>
      <c r="G10" s="12" t="s">
        <v>88</v>
      </c>
      <c r="H10" s="12"/>
      <c r="I10" s="12"/>
      <c r="J10" s="12"/>
      <c r="K10" s="12"/>
      <c r="L10" s="12"/>
      <c r="M10" s="12" t="s">
        <v>88</v>
      </c>
      <c r="N10" s="12"/>
      <c r="O10" s="12"/>
      <c r="Q10" t="str">
        <f>IF(INDEX($D10:$O10,Configuración!$B$4)="X",B10,"")</f>
        <v/>
      </c>
    </row>
    <row r="11" spans="1:17" ht="25.5" customHeight="1">
      <c r="A11" s="12" t="s">
        <v>93</v>
      </c>
      <c r="B11" s="13" t="s">
        <v>97</v>
      </c>
      <c r="C11" s="13" t="s">
        <v>87</v>
      </c>
      <c r="D11" s="12"/>
      <c r="E11" s="12"/>
      <c r="F11" s="12"/>
      <c r="G11" s="12"/>
      <c r="H11" s="12"/>
      <c r="I11" s="12" t="s">
        <v>88</v>
      </c>
      <c r="J11" s="12"/>
      <c r="K11" s="12"/>
      <c r="L11" s="12"/>
      <c r="M11" s="12"/>
      <c r="N11" s="12"/>
      <c r="O11" s="12" t="s">
        <v>88</v>
      </c>
      <c r="Q11" t="str">
        <f>IF(INDEX($D11:$O11,Configuración!$B$4)="X",B11,"")</f>
        <v/>
      </c>
    </row>
    <row r="12" spans="1:17" ht="25.5" customHeight="1">
      <c r="A12" s="12" t="s">
        <v>98</v>
      </c>
      <c r="B12" s="13" t="s">
        <v>99</v>
      </c>
      <c r="C12" s="13" t="s">
        <v>90</v>
      </c>
      <c r="D12" s="12"/>
      <c r="E12" s="12"/>
      <c r="F12" s="12"/>
      <c r="G12" s="12"/>
      <c r="H12" s="12"/>
      <c r="I12" s="12" t="s">
        <v>88</v>
      </c>
      <c r="J12" s="12"/>
      <c r="K12" s="12"/>
      <c r="L12" s="12"/>
      <c r="M12" s="12"/>
      <c r="N12" s="12"/>
      <c r="O12" s="12"/>
      <c r="Q12" t="str">
        <f>IF(INDEX($D12:$O12,Configuración!$B$4)="X",B12,"")</f>
        <v/>
      </c>
    </row>
    <row r="13" spans="1:17" ht="25.5" customHeight="1">
      <c r="A13" s="12" t="s">
        <v>98</v>
      </c>
      <c r="B13" s="13" t="s">
        <v>100</v>
      </c>
      <c r="C13" s="13" t="s">
        <v>90</v>
      </c>
      <c r="D13" s="12"/>
      <c r="E13" s="12"/>
      <c r="F13" s="12"/>
      <c r="G13" s="12"/>
      <c r="H13" s="12"/>
      <c r="I13" s="12"/>
      <c r="J13" s="12"/>
      <c r="K13" s="12" t="s">
        <v>88</v>
      </c>
      <c r="L13" s="12"/>
      <c r="M13" s="12"/>
      <c r="N13" s="12"/>
      <c r="O13" s="12"/>
      <c r="Q13" t="str">
        <f>IF(INDEX($D13:$O13,Configuración!$B$4)="X",B13,"")</f>
        <v/>
      </c>
    </row>
    <row r="14" spans="1:17" ht="25.5" customHeight="1">
      <c r="A14" s="12" t="s">
        <v>98</v>
      </c>
      <c r="B14" s="13" t="s">
        <v>101</v>
      </c>
      <c r="C14" s="13" t="s">
        <v>90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 t="s">
        <v>88</v>
      </c>
      <c r="Q14" t="str">
        <f>IF(INDEX($D14:$O14,Configuración!$B$4)="X",B14,"")</f>
        <v/>
      </c>
    </row>
    <row r="15" spans="1:17" ht="25.5" customHeight="1">
      <c r="A15" s="12" t="s">
        <v>102</v>
      </c>
      <c r="B15" s="13" t="s">
        <v>103</v>
      </c>
      <c r="C15" s="13" t="s">
        <v>90</v>
      </c>
      <c r="D15" s="12" t="s">
        <v>88</v>
      </c>
      <c r="E15" s="12"/>
      <c r="F15" s="12"/>
      <c r="G15" s="12"/>
      <c r="H15" s="12"/>
      <c r="I15" s="12"/>
      <c r="J15" s="12" t="s">
        <v>88</v>
      </c>
      <c r="K15" s="12"/>
      <c r="L15" s="12"/>
      <c r="M15" s="12"/>
      <c r="N15" s="12"/>
      <c r="O15" s="12" t="s">
        <v>88</v>
      </c>
      <c r="Q15" t="str">
        <f>IF(INDEX($D15:$O15,Configuración!$B$4)="X",B15,"")</f>
        <v/>
      </c>
    </row>
    <row r="16" spans="1:17" ht="25.5" customHeight="1">
      <c r="A16" s="12" t="s">
        <v>104</v>
      </c>
      <c r="B16" s="13" t="s">
        <v>105</v>
      </c>
      <c r="C16" s="13" t="s">
        <v>90</v>
      </c>
      <c r="D16" s="12" t="s">
        <v>88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Q16" t="str">
        <f>IF(INDEX($D16:$O16,Configuración!$B$4)="X",B16,"")</f>
        <v/>
      </c>
    </row>
    <row r="17" spans="1: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Q17" t="str">
        <f>IF(INDEX($D17:$O17,Configuración!$B$4)="X",B17,"")</f>
        <v/>
      </c>
    </row>
    <row r="18" spans="1:17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Q18" t="str">
        <f>IF(INDEX($D18:$O18,Configuración!$B$4)="X",B18,"")</f>
        <v/>
      </c>
    </row>
    <row r="19" spans="1:17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Q19" t="str">
        <f>IF(INDEX($D19:$O19,Configuración!$B$4)="X",B19,"")</f>
        <v/>
      </c>
    </row>
    <row r="20" spans="1:17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Q20" t="str">
        <f>IF(INDEX($D20:$O20,Configuración!$B$4)="X",B20,"")</f>
        <v/>
      </c>
    </row>
    <row r="21" spans="1:17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Q21" t="str">
        <f>IF(INDEX($D21:$O21,Configuración!$B$4)="X",B21,"")</f>
        <v/>
      </c>
    </row>
    <row r="22" spans="1:17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Q22" t="str">
        <f>IF(INDEX($D22:$O22,Configuración!$B$4)="X",B22,"")</f>
        <v/>
      </c>
    </row>
  </sheetData>
  <conditionalFormatting sqref="A5:A22">
    <cfRule type="expression" dxfId="25" priority="2">
      <formula>A5="REC"</formula>
    </cfRule>
    <cfRule type="expression" dxfId="24" priority="3">
      <formula>A5="TEM"</formula>
    </cfRule>
    <cfRule type="expression" dxfId="23" priority="4">
      <formula>A5="INV"</formula>
    </cfRule>
    <cfRule type="expression" dxfId="22" priority="5">
      <formula>A5="CTR"</formula>
    </cfRule>
    <cfRule type="expression" dxfId="21" priority="6">
      <formula>A5="CAL"</formula>
    </cfRule>
    <cfRule type="expression" dxfId="20" priority="7">
      <formula>A5="REG"</formula>
    </cfRule>
    <cfRule type="expression" dxfId="19" priority="8">
      <formula>A5="ADM"</formula>
    </cfRule>
    <cfRule type="expression" dxfId="18" priority="9">
      <formula>A5="EQP"</formula>
    </cfRule>
  </conditionalFormatting>
  <conditionalFormatting sqref="D5:O22">
    <cfRule type="expression" dxfId="16" priority="10">
      <formula>AND(D5="X",$A5="REC")</formula>
    </cfRule>
    <cfRule type="expression" dxfId="15" priority="11">
      <formula>AND(D5="X",$A5="TEM")</formula>
    </cfRule>
    <cfRule type="expression" dxfId="14" priority="12">
      <formula>AND(D5="X",$A5="INV")</formula>
    </cfRule>
    <cfRule type="expression" dxfId="13" priority="13">
      <formula>AND(D5="X",$A5="CTR")</formula>
    </cfRule>
    <cfRule type="expression" dxfId="12" priority="14">
      <formula>AND(D5="X",$A5="CAL")</formula>
    </cfRule>
    <cfRule type="expression" dxfId="11" priority="15">
      <formula>AND(D5="X",$A5="REG")</formula>
    </cfRule>
    <cfRule type="expression" dxfId="10" priority="16">
      <formula>AND(D5="X",$A5="ADM")</formula>
    </cfRule>
    <cfRule type="expression" dxfId="9" priority="17">
      <formula>AND(D5="X",$A5="EQP")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00000000-000E-0000-0200-000013000000}">
            <xm:f>COLUMN(D4)-3=Configuración!$B$4</xm:f>
            <x14:dxf>
              <fill>
                <patternFill>
                  <bgColor rgb="FFC65911"/>
                </patternFill>
              </fill>
            </x14:dxf>
          </x14:cfRule>
          <xm:sqref>D4:O4</xm:sqref>
        </x14:conditionalFormatting>
        <x14:conditionalFormatting xmlns:xm="http://schemas.microsoft.com/office/excel/2006/main">
          <x14:cfRule type="expression" priority="18" id="{00000000-000E-0000-0200-000012000000}">
            <xm:f>COLUMN(D5)-3=Configuración!$B$4</xm:f>
            <x14:dxf>
              <border diagonalUp="0" diagonalDown="0">
                <left style="medium">
                  <color rgb="FFC65911"/>
                </left>
                <right style="medium">
                  <color rgb="FFC65911"/>
                </right>
                <top/>
                <bottom/>
              </border>
            </x14:dxf>
          </x14:cfRule>
          <xm:sqref>D5:O22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7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7109375" defaultRowHeight="15"/>
  <cols>
    <col min="1" max="1" width="8" customWidth="1"/>
    <col min="2" max="2" width="11" customWidth="1"/>
    <col min="3" max="4" width="8" customWidth="1"/>
    <col min="5" max="5" width="26" customWidth="1"/>
    <col min="6" max="6" width="60" customWidth="1"/>
    <col min="7" max="7" width="9" customWidth="1"/>
    <col min="8" max="8" width="28" customWidth="1"/>
    <col min="9" max="9" width="20" customWidth="1"/>
  </cols>
  <sheetData>
    <row r="1" spans="1:9" ht="18">
      <c r="A1" s="9" t="s">
        <v>106</v>
      </c>
    </row>
    <row r="2" spans="1:9">
      <c r="A2" s="2" t="s">
        <v>107</v>
      </c>
    </row>
    <row r="4" spans="1:9" ht="25.5">
      <c r="A4" s="11" t="s">
        <v>108</v>
      </c>
      <c r="B4" s="11" t="s">
        <v>109</v>
      </c>
      <c r="C4" s="11" t="s">
        <v>110</v>
      </c>
      <c r="D4" s="11" t="s">
        <v>70</v>
      </c>
      <c r="E4" s="11" t="s">
        <v>111</v>
      </c>
      <c r="F4" s="11" t="s">
        <v>71</v>
      </c>
      <c r="G4" s="11" t="s">
        <v>112</v>
      </c>
      <c r="H4" s="11" t="s">
        <v>113</v>
      </c>
      <c r="I4" s="11" t="s">
        <v>114</v>
      </c>
    </row>
    <row r="5" spans="1:9" ht="24">
      <c r="A5" s="15" t="s">
        <v>115</v>
      </c>
      <c r="B5" s="16" t="s">
        <v>116</v>
      </c>
      <c r="C5" s="15" t="s">
        <v>117</v>
      </c>
      <c r="D5" s="17" t="s">
        <v>85</v>
      </c>
      <c r="E5" s="16" t="s">
        <v>118</v>
      </c>
      <c r="F5" s="16" t="s">
        <v>119</v>
      </c>
      <c r="G5" s="18" t="s">
        <v>120</v>
      </c>
      <c r="H5" s="16" t="s">
        <v>121</v>
      </c>
      <c r="I5" s="16" t="s">
        <v>122</v>
      </c>
    </row>
    <row r="6" spans="1:9" ht="24">
      <c r="A6" s="15" t="s">
        <v>123</v>
      </c>
      <c r="B6" s="16" t="s">
        <v>116</v>
      </c>
      <c r="C6" s="15" t="s">
        <v>117</v>
      </c>
      <c r="D6" s="17" t="s">
        <v>124</v>
      </c>
      <c r="E6" s="16" t="s">
        <v>125</v>
      </c>
      <c r="F6" s="16" t="s">
        <v>126</v>
      </c>
      <c r="G6" s="18" t="s">
        <v>120</v>
      </c>
      <c r="H6" s="16" t="s">
        <v>127</v>
      </c>
      <c r="I6" s="16" t="s">
        <v>122</v>
      </c>
    </row>
    <row r="7" spans="1:9" ht="24">
      <c r="A7" s="15" t="s">
        <v>128</v>
      </c>
      <c r="B7" s="16" t="s">
        <v>116</v>
      </c>
      <c r="C7" s="15" t="s">
        <v>117</v>
      </c>
      <c r="D7" s="17" t="s">
        <v>124</v>
      </c>
      <c r="E7" s="16" t="s">
        <v>125</v>
      </c>
      <c r="F7" s="16" t="s">
        <v>129</v>
      </c>
      <c r="G7" s="18" t="s">
        <v>120</v>
      </c>
      <c r="H7" s="16" t="s">
        <v>130</v>
      </c>
      <c r="I7" s="16" t="s">
        <v>122</v>
      </c>
    </row>
    <row r="8" spans="1:9" ht="24">
      <c r="A8" s="15" t="s">
        <v>115</v>
      </c>
      <c r="B8" s="16" t="s">
        <v>116</v>
      </c>
      <c r="C8" s="15" t="s">
        <v>117</v>
      </c>
      <c r="D8" s="17" t="s">
        <v>131</v>
      </c>
      <c r="E8" s="16" t="s">
        <v>132</v>
      </c>
      <c r="F8" s="16" t="s">
        <v>133</v>
      </c>
      <c r="G8" s="18" t="s">
        <v>120</v>
      </c>
      <c r="H8" s="16" t="s">
        <v>134</v>
      </c>
      <c r="I8" s="16" t="s">
        <v>135</v>
      </c>
    </row>
    <row r="9" spans="1:9" ht="24">
      <c r="A9" s="15" t="s">
        <v>128</v>
      </c>
      <c r="B9" s="16" t="s">
        <v>116</v>
      </c>
      <c r="C9" s="15" t="s">
        <v>117</v>
      </c>
      <c r="D9" s="17" t="s">
        <v>95</v>
      </c>
      <c r="E9" s="16" t="s">
        <v>136</v>
      </c>
      <c r="F9" s="16" t="s">
        <v>137</v>
      </c>
      <c r="G9" s="18" t="s">
        <v>120</v>
      </c>
      <c r="H9" s="16"/>
      <c r="I9" s="16" t="s">
        <v>138</v>
      </c>
    </row>
    <row r="10" spans="1:9" ht="24">
      <c r="A10" s="15" t="s">
        <v>139</v>
      </c>
      <c r="B10" s="16" t="s">
        <v>25</v>
      </c>
      <c r="C10" s="15" t="s">
        <v>18</v>
      </c>
      <c r="D10" s="17" t="s">
        <v>85</v>
      </c>
      <c r="E10" s="16" t="s">
        <v>118</v>
      </c>
      <c r="F10" s="16" t="s">
        <v>140</v>
      </c>
      <c r="G10" s="15" t="s">
        <v>141</v>
      </c>
      <c r="H10" s="16" t="s">
        <v>142</v>
      </c>
      <c r="I10" s="16" t="s">
        <v>122</v>
      </c>
    </row>
    <row r="11" spans="1:9" ht="24">
      <c r="A11" s="15" t="s">
        <v>139</v>
      </c>
      <c r="B11" s="16" t="s">
        <v>25</v>
      </c>
      <c r="C11" s="15" t="s">
        <v>19</v>
      </c>
      <c r="D11" s="17" t="s">
        <v>95</v>
      </c>
      <c r="E11" s="16" t="s">
        <v>136</v>
      </c>
      <c r="F11" s="16" t="s">
        <v>143</v>
      </c>
      <c r="G11" s="18" t="s">
        <v>120</v>
      </c>
      <c r="H11" s="16" t="s">
        <v>144</v>
      </c>
      <c r="I11" s="16" t="s">
        <v>138</v>
      </c>
    </row>
    <row r="12" spans="1:9">
      <c r="A12" s="15" t="s">
        <v>139</v>
      </c>
      <c r="B12" s="16" t="s">
        <v>26</v>
      </c>
      <c r="C12" s="15" t="s">
        <v>18</v>
      </c>
      <c r="D12" s="17" t="s">
        <v>93</v>
      </c>
      <c r="E12" s="16" t="s">
        <v>145</v>
      </c>
      <c r="F12" s="16" t="s">
        <v>146</v>
      </c>
      <c r="G12" s="15" t="s">
        <v>141</v>
      </c>
      <c r="H12" s="16" t="s">
        <v>147</v>
      </c>
      <c r="I12" s="16" t="s">
        <v>122</v>
      </c>
    </row>
    <row r="13" spans="1:9" ht="24">
      <c r="A13" s="15" t="s">
        <v>139</v>
      </c>
      <c r="B13" s="16" t="s">
        <v>26</v>
      </c>
      <c r="C13" s="15" t="s">
        <v>19</v>
      </c>
      <c r="D13" s="17" t="s">
        <v>124</v>
      </c>
      <c r="E13" s="16" t="s">
        <v>125</v>
      </c>
      <c r="F13" s="16" t="s">
        <v>148</v>
      </c>
      <c r="G13" s="18" t="s">
        <v>120</v>
      </c>
      <c r="H13" s="16" t="s">
        <v>149</v>
      </c>
      <c r="I13" s="16" t="s">
        <v>150</v>
      </c>
    </row>
    <row r="14" spans="1:9" ht="24">
      <c r="A14" s="15" t="s">
        <v>139</v>
      </c>
      <c r="B14" s="16" t="s">
        <v>27</v>
      </c>
      <c r="C14" s="15" t="s">
        <v>18</v>
      </c>
      <c r="D14" s="17" t="s">
        <v>124</v>
      </c>
      <c r="E14" s="16" t="s">
        <v>125</v>
      </c>
      <c r="F14" s="16" t="s">
        <v>151</v>
      </c>
      <c r="G14" s="15" t="s">
        <v>141</v>
      </c>
      <c r="H14" s="16" t="s">
        <v>152</v>
      </c>
      <c r="I14" s="16"/>
    </row>
    <row r="15" spans="1:9" ht="24">
      <c r="A15" s="15" t="s">
        <v>139</v>
      </c>
      <c r="B15" s="16" t="s">
        <v>27</v>
      </c>
      <c r="C15" s="15" t="s">
        <v>19</v>
      </c>
      <c r="D15" s="17" t="s">
        <v>104</v>
      </c>
      <c r="E15" s="16" t="s">
        <v>153</v>
      </c>
      <c r="F15" s="16" t="s">
        <v>154</v>
      </c>
      <c r="G15" s="15" t="s">
        <v>141</v>
      </c>
      <c r="H15" s="16" t="s">
        <v>155</v>
      </c>
      <c r="I15" s="16"/>
    </row>
    <row r="16" spans="1:9" ht="24">
      <c r="A16" s="15" t="s">
        <v>139</v>
      </c>
      <c r="B16" s="16" t="s">
        <v>28</v>
      </c>
      <c r="C16" s="15" t="s">
        <v>18</v>
      </c>
      <c r="D16" s="17" t="s">
        <v>102</v>
      </c>
      <c r="E16" s="16" t="s">
        <v>156</v>
      </c>
      <c r="F16" s="16" t="s">
        <v>157</v>
      </c>
      <c r="G16" s="15" t="s">
        <v>141</v>
      </c>
      <c r="H16" s="16"/>
      <c r="I16" s="16"/>
    </row>
    <row r="17" spans="1:9" ht="24">
      <c r="A17" s="15" t="s">
        <v>139</v>
      </c>
      <c r="B17" s="16" t="s">
        <v>28</v>
      </c>
      <c r="C17" s="15" t="s">
        <v>19</v>
      </c>
      <c r="D17" s="17" t="s">
        <v>102</v>
      </c>
      <c r="E17" s="16" t="s">
        <v>156</v>
      </c>
      <c r="F17" s="16" t="s">
        <v>158</v>
      </c>
      <c r="G17" s="15" t="s">
        <v>141</v>
      </c>
      <c r="H17" s="16"/>
      <c r="I17" s="16"/>
    </row>
    <row r="18" spans="1:9">
      <c r="A18" s="15" t="s">
        <v>139</v>
      </c>
      <c r="B18" s="16" t="s">
        <v>29</v>
      </c>
      <c r="C18" s="15" t="s">
        <v>18</v>
      </c>
      <c r="D18" s="17" t="s">
        <v>104</v>
      </c>
      <c r="E18" s="16" t="s">
        <v>153</v>
      </c>
      <c r="F18" s="16" t="s">
        <v>159</v>
      </c>
      <c r="G18" s="15" t="s">
        <v>141</v>
      </c>
      <c r="H18" s="16"/>
      <c r="I18" s="16"/>
    </row>
    <row r="19" spans="1:9" ht="24">
      <c r="A19" s="15" t="s">
        <v>139</v>
      </c>
      <c r="B19" s="16" t="s">
        <v>29</v>
      </c>
      <c r="C19" s="15" t="s">
        <v>19</v>
      </c>
      <c r="D19" s="17" t="s">
        <v>98</v>
      </c>
      <c r="E19" s="16" t="s">
        <v>160</v>
      </c>
      <c r="F19" s="16" t="s">
        <v>161</v>
      </c>
      <c r="G19" s="15" t="s">
        <v>141</v>
      </c>
      <c r="H19" s="16" t="s">
        <v>162</v>
      </c>
      <c r="I19" s="16" t="s">
        <v>122</v>
      </c>
    </row>
    <row r="20" spans="1:9" ht="24">
      <c r="A20" s="15" t="s">
        <v>163</v>
      </c>
      <c r="B20" s="16" t="s">
        <v>25</v>
      </c>
      <c r="C20" s="15" t="s">
        <v>18</v>
      </c>
      <c r="D20" s="17" t="s">
        <v>95</v>
      </c>
      <c r="E20" s="16" t="s">
        <v>136</v>
      </c>
      <c r="F20" s="16" t="s">
        <v>164</v>
      </c>
      <c r="G20" s="15" t="s">
        <v>141</v>
      </c>
      <c r="H20" s="16" t="s">
        <v>165</v>
      </c>
      <c r="I20" s="16" t="s">
        <v>138</v>
      </c>
    </row>
    <row r="21" spans="1:9" ht="24">
      <c r="A21" s="15" t="s">
        <v>163</v>
      </c>
      <c r="B21" s="16" t="s">
        <v>25</v>
      </c>
      <c r="C21" s="15" t="s">
        <v>19</v>
      </c>
      <c r="D21" s="17" t="s">
        <v>95</v>
      </c>
      <c r="E21" s="16" t="s">
        <v>136</v>
      </c>
      <c r="F21" s="16" t="s">
        <v>166</v>
      </c>
      <c r="G21" s="18" t="s">
        <v>120</v>
      </c>
      <c r="H21" s="16" t="s">
        <v>167</v>
      </c>
      <c r="I21" s="16" t="s">
        <v>138</v>
      </c>
    </row>
    <row r="22" spans="1:9">
      <c r="A22" s="15" t="s">
        <v>163</v>
      </c>
      <c r="B22" s="16" t="s">
        <v>26</v>
      </c>
      <c r="C22" s="15" t="s">
        <v>18</v>
      </c>
      <c r="D22" s="17" t="s">
        <v>93</v>
      </c>
      <c r="E22" s="16" t="s">
        <v>145</v>
      </c>
      <c r="F22" s="16" t="s">
        <v>168</v>
      </c>
      <c r="G22" s="18" t="s">
        <v>120</v>
      </c>
      <c r="H22" s="16" t="s">
        <v>169</v>
      </c>
      <c r="I22" s="16" t="s">
        <v>170</v>
      </c>
    </row>
    <row r="23" spans="1:9" ht="24">
      <c r="A23" s="15" t="s">
        <v>163</v>
      </c>
      <c r="B23" s="16" t="s">
        <v>26</v>
      </c>
      <c r="C23" s="15" t="s">
        <v>19</v>
      </c>
      <c r="D23" s="17" t="s">
        <v>124</v>
      </c>
      <c r="E23" s="16" t="s">
        <v>125</v>
      </c>
      <c r="F23" s="16" t="s">
        <v>171</v>
      </c>
      <c r="G23" s="15" t="s">
        <v>141</v>
      </c>
      <c r="H23" s="16"/>
      <c r="I23" s="16"/>
    </row>
    <row r="24" spans="1:9" ht="24">
      <c r="A24" s="15" t="s">
        <v>163</v>
      </c>
      <c r="B24" s="16" t="s">
        <v>27</v>
      </c>
      <c r="C24" s="15" t="s">
        <v>18</v>
      </c>
      <c r="D24" s="17" t="s">
        <v>98</v>
      </c>
      <c r="E24" s="16" t="s">
        <v>160</v>
      </c>
      <c r="F24" s="16" t="s">
        <v>172</v>
      </c>
      <c r="G24" s="18" t="s">
        <v>120</v>
      </c>
      <c r="H24" s="16" t="s">
        <v>173</v>
      </c>
      <c r="I24" s="16" t="s">
        <v>122</v>
      </c>
    </row>
    <row r="25" spans="1:9" ht="24">
      <c r="A25" s="15" t="s">
        <v>163</v>
      </c>
      <c r="B25" s="16" t="s">
        <v>27</v>
      </c>
      <c r="C25" s="15" t="s">
        <v>19</v>
      </c>
      <c r="D25" s="17" t="s">
        <v>104</v>
      </c>
      <c r="E25" s="16" t="s">
        <v>153</v>
      </c>
      <c r="F25" s="16" t="s">
        <v>154</v>
      </c>
      <c r="G25" s="15" t="s">
        <v>141</v>
      </c>
      <c r="H25" s="16" t="s">
        <v>155</v>
      </c>
      <c r="I25" s="16"/>
    </row>
    <row r="26" spans="1:9" ht="24">
      <c r="A26" s="15" t="s">
        <v>163</v>
      </c>
      <c r="B26" s="16" t="s">
        <v>28</v>
      </c>
      <c r="C26" s="15" t="s">
        <v>18</v>
      </c>
      <c r="D26" s="17" t="s">
        <v>131</v>
      </c>
      <c r="E26" s="16" t="s">
        <v>132</v>
      </c>
      <c r="F26" s="16" t="s">
        <v>174</v>
      </c>
      <c r="G26" s="18" t="s">
        <v>120</v>
      </c>
      <c r="H26" s="16" t="s">
        <v>175</v>
      </c>
      <c r="I26" s="16" t="s">
        <v>176</v>
      </c>
    </row>
    <row r="27" spans="1:9" ht="24">
      <c r="A27" s="15" t="s">
        <v>163</v>
      </c>
      <c r="B27" s="16" t="s">
        <v>28</v>
      </c>
      <c r="C27" s="15" t="s">
        <v>19</v>
      </c>
      <c r="D27" s="17" t="s">
        <v>124</v>
      </c>
      <c r="E27" s="16" t="s">
        <v>125</v>
      </c>
      <c r="F27" s="16" t="s">
        <v>177</v>
      </c>
      <c r="G27" s="15" t="s">
        <v>141</v>
      </c>
      <c r="H27" s="16"/>
      <c r="I27" s="16"/>
    </row>
    <row r="28" spans="1:9" ht="24">
      <c r="A28" s="15" t="s">
        <v>163</v>
      </c>
      <c r="B28" s="16" t="s">
        <v>29</v>
      </c>
      <c r="C28" s="15" t="s">
        <v>18</v>
      </c>
      <c r="D28" s="17" t="s">
        <v>98</v>
      </c>
      <c r="E28" s="16" t="s">
        <v>160</v>
      </c>
      <c r="F28" s="16" t="s">
        <v>161</v>
      </c>
      <c r="G28" s="15" t="s">
        <v>141</v>
      </c>
      <c r="H28" s="16" t="s">
        <v>162</v>
      </c>
      <c r="I28" s="16" t="s">
        <v>122</v>
      </c>
    </row>
    <row r="29" spans="1:9" ht="24">
      <c r="A29" s="15" t="s">
        <v>163</v>
      </c>
      <c r="B29" s="16" t="s">
        <v>29</v>
      </c>
      <c r="C29" s="15" t="s">
        <v>19</v>
      </c>
      <c r="D29" s="17" t="s">
        <v>102</v>
      </c>
      <c r="E29" s="16" t="s">
        <v>156</v>
      </c>
      <c r="F29" s="16" t="s">
        <v>178</v>
      </c>
      <c r="G29" s="18" t="s">
        <v>120</v>
      </c>
      <c r="H29" s="16" t="s">
        <v>179</v>
      </c>
      <c r="I29" s="16" t="s">
        <v>180</v>
      </c>
    </row>
    <row r="30" spans="1:9">
      <c r="A30" s="15" t="s">
        <v>181</v>
      </c>
      <c r="B30" s="16" t="s">
        <v>25</v>
      </c>
      <c r="C30" s="15" t="s">
        <v>18</v>
      </c>
      <c r="D30" s="17" t="s">
        <v>93</v>
      </c>
      <c r="E30" s="16" t="s">
        <v>145</v>
      </c>
      <c r="F30" s="16" t="s">
        <v>182</v>
      </c>
      <c r="G30" s="18" t="s">
        <v>120</v>
      </c>
      <c r="H30" s="16" t="s">
        <v>183</v>
      </c>
      <c r="I30" s="16" t="s">
        <v>122</v>
      </c>
    </row>
    <row r="31" spans="1:9" ht="24">
      <c r="A31" s="15" t="s">
        <v>181</v>
      </c>
      <c r="B31" s="16" t="s">
        <v>25</v>
      </c>
      <c r="C31" s="15" t="s">
        <v>19</v>
      </c>
      <c r="D31" s="17" t="s">
        <v>98</v>
      </c>
      <c r="E31" s="16" t="s">
        <v>160</v>
      </c>
      <c r="F31" s="16" t="s">
        <v>184</v>
      </c>
      <c r="G31" s="18" t="s">
        <v>120</v>
      </c>
      <c r="H31" s="16" t="s">
        <v>185</v>
      </c>
      <c r="I31" s="16" t="s">
        <v>186</v>
      </c>
    </row>
    <row r="32" spans="1:9">
      <c r="A32" s="15" t="s">
        <v>181</v>
      </c>
      <c r="B32" s="16" t="s">
        <v>26</v>
      </c>
      <c r="C32" s="15" t="s">
        <v>18</v>
      </c>
      <c r="D32" s="17" t="s">
        <v>93</v>
      </c>
      <c r="E32" s="16" t="s">
        <v>145</v>
      </c>
      <c r="F32" s="16" t="s">
        <v>187</v>
      </c>
      <c r="G32" s="15" t="s">
        <v>141</v>
      </c>
      <c r="H32" s="16" t="s">
        <v>188</v>
      </c>
      <c r="I32" s="16"/>
    </row>
    <row r="33" spans="1:9" ht="24">
      <c r="A33" s="15" t="s">
        <v>181</v>
      </c>
      <c r="B33" s="16" t="s">
        <v>26</v>
      </c>
      <c r="C33" s="15" t="s">
        <v>19</v>
      </c>
      <c r="D33" s="17" t="s">
        <v>102</v>
      </c>
      <c r="E33" s="16" t="s">
        <v>156</v>
      </c>
      <c r="F33" s="16" t="s">
        <v>189</v>
      </c>
      <c r="G33" s="15" t="s">
        <v>141</v>
      </c>
      <c r="H33" s="16" t="s">
        <v>190</v>
      </c>
      <c r="I33" s="16"/>
    </row>
    <row r="34" spans="1:9" ht="24">
      <c r="A34" s="15" t="s">
        <v>181</v>
      </c>
      <c r="B34" s="16" t="s">
        <v>27</v>
      </c>
      <c r="C34" s="15" t="s">
        <v>18</v>
      </c>
      <c r="D34" s="17" t="s">
        <v>98</v>
      </c>
      <c r="E34" s="16" t="s">
        <v>160</v>
      </c>
      <c r="F34" s="16" t="s">
        <v>191</v>
      </c>
      <c r="G34" s="18" t="s">
        <v>120</v>
      </c>
      <c r="H34" s="16" t="s">
        <v>192</v>
      </c>
      <c r="I34" s="16" t="s">
        <v>122</v>
      </c>
    </row>
    <row r="35" spans="1:9" ht="24">
      <c r="A35" s="15" t="s">
        <v>181</v>
      </c>
      <c r="B35" s="16" t="s">
        <v>27</v>
      </c>
      <c r="C35" s="15" t="s">
        <v>19</v>
      </c>
      <c r="D35" s="17" t="s">
        <v>104</v>
      </c>
      <c r="E35" s="16" t="s">
        <v>153</v>
      </c>
      <c r="F35" s="16" t="s">
        <v>154</v>
      </c>
      <c r="G35" s="15" t="s">
        <v>141</v>
      </c>
      <c r="H35" s="16" t="s">
        <v>155</v>
      </c>
      <c r="I35" s="16"/>
    </row>
    <row r="36" spans="1:9" ht="24">
      <c r="A36" s="15" t="s">
        <v>181</v>
      </c>
      <c r="B36" s="16" t="s">
        <v>28</v>
      </c>
      <c r="C36" s="15" t="s">
        <v>18</v>
      </c>
      <c r="D36" s="17" t="s">
        <v>85</v>
      </c>
      <c r="E36" s="16" t="s">
        <v>118</v>
      </c>
      <c r="F36" s="16" t="s">
        <v>193</v>
      </c>
      <c r="G36" s="18" t="s">
        <v>120</v>
      </c>
      <c r="H36" s="16" t="s">
        <v>194</v>
      </c>
      <c r="I36" s="16" t="s">
        <v>122</v>
      </c>
    </row>
    <row r="37" spans="1:9" ht="24">
      <c r="A37" s="15" t="s">
        <v>181</v>
      </c>
      <c r="B37" s="16" t="s">
        <v>28</v>
      </c>
      <c r="C37" s="15" t="s">
        <v>19</v>
      </c>
      <c r="D37" s="17" t="s">
        <v>124</v>
      </c>
      <c r="E37" s="16" t="s">
        <v>125</v>
      </c>
      <c r="F37" s="16" t="s">
        <v>195</v>
      </c>
      <c r="G37" s="18" t="s">
        <v>120</v>
      </c>
      <c r="H37" s="16" t="s">
        <v>196</v>
      </c>
      <c r="I37" s="16"/>
    </row>
    <row r="38" spans="1:9" ht="24">
      <c r="A38" s="15" t="s">
        <v>181</v>
      </c>
      <c r="B38" s="16" t="s">
        <v>29</v>
      </c>
      <c r="C38" s="15" t="s">
        <v>18</v>
      </c>
      <c r="D38" s="17" t="s">
        <v>98</v>
      </c>
      <c r="E38" s="16" t="s">
        <v>160</v>
      </c>
      <c r="F38" s="16" t="s">
        <v>161</v>
      </c>
      <c r="G38" s="15" t="s">
        <v>141</v>
      </c>
      <c r="H38" s="16" t="s">
        <v>162</v>
      </c>
      <c r="I38" s="16" t="s">
        <v>122</v>
      </c>
    </row>
    <row r="39" spans="1:9" ht="24">
      <c r="A39" s="15" t="s">
        <v>181</v>
      </c>
      <c r="B39" s="16" t="s">
        <v>29</v>
      </c>
      <c r="C39" s="15" t="s">
        <v>19</v>
      </c>
      <c r="D39" s="17" t="s">
        <v>104</v>
      </c>
      <c r="E39" s="16" t="s">
        <v>153</v>
      </c>
      <c r="F39" s="16" t="s">
        <v>197</v>
      </c>
      <c r="G39" s="18" t="s">
        <v>120</v>
      </c>
      <c r="H39" s="16" t="s">
        <v>198</v>
      </c>
      <c r="I39" s="16"/>
    </row>
    <row r="40" spans="1:9" ht="24">
      <c r="A40" s="15" t="s">
        <v>199</v>
      </c>
      <c r="B40" s="16" t="s">
        <v>25</v>
      </c>
      <c r="C40" s="15" t="s">
        <v>18</v>
      </c>
      <c r="D40" s="17" t="s">
        <v>124</v>
      </c>
      <c r="E40" s="16" t="s">
        <v>125</v>
      </c>
      <c r="F40" s="16" t="s">
        <v>200</v>
      </c>
      <c r="G40" s="18" t="s">
        <v>120</v>
      </c>
      <c r="H40" s="16" t="s">
        <v>201</v>
      </c>
      <c r="I40" s="16" t="s">
        <v>150</v>
      </c>
    </row>
    <row r="41" spans="1:9" ht="24">
      <c r="A41" s="15" t="s">
        <v>199</v>
      </c>
      <c r="B41" s="16" t="s">
        <v>25</v>
      </c>
      <c r="C41" s="15" t="s">
        <v>19</v>
      </c>
      <c r="D41" s="17" t="s">
        <v>85</v>
      </c>
      <c r="E41" s="16" t="s">
        <v>118</v>
      </c>
      <c r="F41" s="16" t="s">
        <v>202</v>
      </c>
      <c r="G41" s="18" t="s">
        <v>120</v>
      </c>
      <c r="H41" s="16" t="s">
        <v>203</v>
      </c>
      <c r="I41" s="16" t="s">
        <v>122</v>
      </c>
    </row>
    <row r="42" spans="1:9" ht="24">
      <c r="A42" s="15" t="s">
        <v>199</v>
      </c>
      <c r="B42" s="16" t="s">
        <v>26</v>
      </c>
      <c r="C42" s="15" t="s">
        <v>18</v>
      </c>
      <c r="D42" s="17" t="s">
        <v>124</v>
      </c>
      <c r="E42" s="16" t="s">
        <v>125</v>
      </c>
      <c r="F42" s="16" t="s">
        <v>151</v>
      </c>
      <c r="G42" s="15" t="s">
        <v>141</v>
      </c>
      <c r="H42" s="16" t="s">
        <v>152</v>
      </c>
      <c r="I42" s="16"/>
    </row>
    <row r="43" spans="1:9" ht="24">
      <c r="A43" s="15" t="s">
        <v>199</v>
      </c>
      <c r="B43" s="16" t="s">
        <v>26</v>
      </c>
      <c r="C43" s="15" t="s">
        <v>19</v>
      </c>
      <c r="D43" s="17" t="s">
        <v>124</v>
      </c>
      <c r="E43" s="16" t="s">
        <v>125</v>
      </c>
      <c r="F43" s="16" t="s">
        <v>148</v>
      </c>
      <c r="G43" s="18" t="s">
        <v>120</v>
      </c>
      <c r="H43" s="16" t="s">
        <v>149</v>
      </c>
      <c r="I43" s="16" t="s">
        <v>150</v>
      </c>
    </row>
    <row r="44" spans="1:9" ht="24">
      <c r="A44" s="15" t="s">
        <v>199</v>
      </c>
      <c r="B44" s="16" t="s">
        <v>27</v>
      </c>
      <c r="C44" s="15" t="s">
        <v>19</v>
      </c>
      <c r="D44" s="17" t="s">
        <v>104</v>
      </c>
      <c r="E44" s="16" t="s">
        <v>153</v>
      </c>
      <c r="F44" s="16" t="s">
        <v>154</v>
      </c>
      <c r="G44" s="15" t="s">
        <v>141</v>
      </c>
      <c r="H44" s="16" t="s">
        <v>155</v>
      </c>
      <c r="I44" s="16"/>
    </row>
    <row r="45" spans="1:9" ht="24">
      <c r="A45" s="15" t="s">
        <v>199</v>
      </c>
      <c r="B45" s="16" t="s">
        <v>28</v>
      </c>
      <c r="C45" s="15" t="s">
        <v>18</v>
      </c>
      <c r="D45" s="17" t="s">
        <v>124</v>
      </c>
      <c r="E45" s="16" t="s">
        <v>125</v>
      </c>
      <c r="F45" s="16" t="s">
        <v>151</v>
      </c>
      <c r="G45" s="15" t="s">
        <v>141</v>
      </c>
      <c r="H45" s="16" t="s">
        <v>152</v>
      </c>
      <c r="I45" s="16"/>
    </row>
    <row r="46" spans="1:9" ht="24">
      <c r="A46" s="15" t="s">
        <v>199</v>
      </c>
      <c r="B46" s="16" t="s">
        <v>29</v>
      </c>
      <c r="C46" s="15" t="s">
        <v>18</v>
      </c>
      <c r="D46" s="17" t="s">
        <v>98</v>
      </c>
      <c r="E46" s="16" t="s">
        <v>160</v>
      </c>
      <c r="F46" s="16" t="s">
        <v>204</v>
      </c>
      <c r="G46" s="18" t="s">
        <v>120</v>
      </c>
      <c r="H46" s="16" t="s">
        <v>205</v>
      </c>
      <c r="I46" s="16" t="s">
        <v>122</v>
      </c>
    </row>
    <row r="47" spans="1:9">
      <c r="A47" s="15" t="s">
        <v>199</v>
      </c>
      <c r="B47" s="16" t="s">
        <v>29</v>
      </c>
      <c r="C47" s="15" t="s">
        <v>19</v>
      </c>
      <c r="D47" s="17" t="s">
        <v>104</v>
      </c>
      <c r="E47" s="16" t="s">
        <v>153</v>
      </c>
      <c r="F47" s="16" t="s">
        <v>206</v>
      </c>
      <c r="G47" s="18" t="s">
        <v>120</v>
      </c>
      <c r="H47" s="16" t="s">
        <v>207</v>
      </c>
      <c r="I47" s="16"/>
    </row>
  </sheetData>
  <autoFilter ref="A4:I47" xr:uid="{00000000-0009-0000-0000-000003000000}"/>
  <conditionalFormatting sqref="D5:E47">
    <cfRule type="expression" dxfId="7" priority="2">
      <formula>$D5="REC"</formula>
    </cfRule>
    <cfRule type="expression" dxfId="6" priority="3">
      <formula>$D5="TEM"</formula>
    </cfRule>
    <cfRule type="expression" dxfId="5" priority="4">
      <formula>$D5="INV"</formula>
    </cfRule>
    <cfRule type="expression" dxfId="4" priority="5">
      <formula>$D5="CTR"</formula>
    </cfRule>
    <cfRule type="expression" dxfId="3" priority="6">
      <formula>$D5="CAL"</formula>
    </cfRule>
    <cfRule type="expression" dxfId="2" priority="7">
      <formula>$D5="REG"</formula>
    </cfRule>
    <cfRule type="expression" dxfId="1" priority="8">
      <formula>$D5="ADM"</formula>
    </cfRule>
    <cfRule type="expression" dxfId="0" priority="9">
      <formula>$D5="EQP"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5"/>
  <sheetViews>
    <sheetView showGridLines="0" zoomScaleNormal="100" workbookViewId="0"/>
  </sheetViews>
  <sheetFormatPr baseColWidth="10" defaultColWidth="8.7109375" defaultRowHeight="15"/>
  <cols>
    <col min="1" max="1" width="24" customWidth="1"/>
    <col min="2" max="2" width="13" customWidth="1"/>
    <col min="3" max="3" width="8" customWidth="1"/>
    <col min="4" max="4" width="13" customWidth="1"/>
    <col min="5" max="7" width="2" customWidth="1"/>
    <col min="8" max="8" width="12" customWidth="1"/>
    <col min="9" max="9" width="2" customWidth="1"/>
    <col min="10" max="10" width="8" customWidth="1"/>
    <col min="11" max="11" width="38" customWidth="1"/>
    <col min="12" max="12" width="2" customWidth="1"/>
    <col min="13" max="13" width="14" customWidth="1"/>
    <col min="14" max="14" width="28" customWidth="1"/>
  </cols>
  <sheetData>
    <row r="1" spans="1:14" ht="18">
      <c r="A1" s="9" t="s">
        <v>208</v>
      </c>
    </row>
    <row r="3" spans="1:14">
      <c r="A3" s="19" t="s">
        <v>209</v>
      </c>
      <c r="H3" s="19" t="s">
        <v>210</v>
      </c>
      <c r="J3" s="20" t="s">
        <v>70</v>
      </c>
      <c r="K3" s="20" t="s">
        <v>111</v>
      </c>
      <c r="M3" s="21" t="s">
        <v>211</v>
      </c>
      <c r="N3" s="21" t="s">
        <v>212</v>
      </c>
    </row>
    <row r="4" spans="1:14">
      <c r="A4" s="22" t="s">
        <v>213</v>
      </c>
      <c r="B4" s="23">
        <f>MATCH(Calendario!$C$2,$H$4:$H$15,0)</f>
        <v>11</v>
      </c>
      <c r="H4" s="22" t="s">
        <v>214</v>
      </c>
      <c r="J4" s="24" t="s">
        <v>124</v>
      </c>
      <c r="K4" s="25" t="s">
        <v>125</v>
      </c>
      <c r="M4" s="26">
        <v>46364</v>
      </c>
      <c r="N4" s="27" t="s">
        <v>215</v>
      </c>
    </row>
    <row r="5" spans="1:14">
      <c r="A5" s="22" t="s">
        <v>216</v>
      </c>
      <c r="B5" s="28">
        <f>DATE(Calendario!$F$2,B4,1)</f>
        <v>46327</v>
      </c>
      <c r="H5" s="22" t="s">
        <v>217</v>
      </c>
      <c r="J5" s="29" t="s">
        <v>85</v>
      </c>
      <c r="K5" s="30" t="s">
        <v>118</v>
      </c>
      <c r="M5" s="26">
        <v>46381</v>
      </c>
      <c r="N5" s="27" t="s">
        <v>218</v>
      </c>
    </row>
    <row r="6" spans="1:14">
      <c r="A6" s="22" t="s">
        <v>219</v>
      </c>
      <c r="B6" s="23">
        <f>WEEKDAY(B5,2)</f>
        <v>7</v>
      </c>
      <c r="H6" s="22" t="s">
        <v>220</v>
      </c>
      <c r="J6" s="31" t="s">
        <v>93</v>
      </c>
      <c r="K6" s="32" t="s">
        <v>145</v>
      </c>
      <c r="M6" s="26">
        <v>46388</v>
      </c>
      <c r="N6" s="27" t="s">
        <v>221</v>
      </c>
    </row>
    <row r="7" spans="1:14">
      <c r="A7" s="22" t="s">
        <v>222</v>
      </c>
      <c r="B7" s="28">
        <f>IF(B6&lt;=3,B5-B6+1,B5-B6+8)</f>
        <v>46328</v>
      </c>
      <c r="H7" s="22" t="s">
        <v>223</v>
      </c>
      <c r="J7" s="33" t="s">
        <v>95</v>
      </c>
      <c r="K7" s="34" t="s">
        <v>136</v>
      </c>
      <c r="M7" s="26">
        <v>46472</v>
      </c>
      <c r="N7" s="27" t="s">
        <v>224</v>
      </c>
    </row>
    <row r="8" spans="1:14">
      <c r="A8" s="22" t="s">
        <v>225</v>
      </c>
      <c r="B8" s="28">
        <f>EOMONTH(B5,0)</f>
        <v>46356</v>
      </c>
      <c r="H8" s="22" t="s">
        <v>226</v>
      </c>
      <c r="J8" s="35" t="s">
        <v>98</v>
      </c>
      <c r="K8" s="36" t="s">
        <v>160</v>
      </c>
      <c r="M8" s="26">
        <v>46528</v>
      </c>
      <c r="N8" s="27" t="s">
        <v>227</v>
      </c>
    </row>
    <row r="9" spans="1:14">
      <c r="A9" s="22" t="s">
        <v>228</v>
      </c>
      <c r="B9" s="23">
        <f>INT((B8-(B7+2))/7)+1</f>
        <v>4</v>
      </c>
      <c r="H9" s="22" t="s">
        <v>229</v>
      </c>
      <c r="J9" s="37" t="s">
        <v>131</v>
      </c>
      <c r="K9" s="38" t="s">
        <v>132</v>
      </c>
      <c r="M9" s="26">
        <v>46559</v>
      </c>
      <c r="N9" s="27" t="s">
        <v>230</v>
      </c>
    </row>
    <row r="10" spans="1:14">
      <c r="H10" s="22" t="s">
        <v>231</v>
      </c>
      <c r="J10" s="39" t="s">
        <v>104</v>
      </c>
      <c r="K10" s="40" t="s">
        <v>153</v>
      </c>
      <c r="M10" s="26">
        <v>46566</v>
      </c>
      <c r="N10" s="27" t="s">
        <v>232</v>
      </c>
    </row>
    <row r="11" spans="1:14">
      <c r="A11" s="20" t="s">
        <v>108</v>
      </c>
      <c r="B11" s="20" t="s">
        <v>25</v>
      </c>
      <c r="C11" s="20" t="s">
        <v>233</v>
      </c>
      <c r="D11" s="20" t="s">
        <v>234</v>
      </c>
      <c r="H11" s="22" t="s">
        <v>235</v>
      </c>
      <c r="J11" s="41" t="s">
        <v>102</v>
      </c>
      <c r="K11" s="42" t="s">
        <v>156</v>
      </c>
      <c r="M11" s="26">
        <v>46584</v>
      </c>
      <c r="N11" s="27" t="s">
        <v>236</v>
      </c>
    </row>
    <row r="12" spans="1:14">
      <c r="A12" s="22">
        <v>1</v>
      </c>
      <c r="B12" s="28">
        <f>$B$7+7*(A12-1)</f>
        <v>46328</v>
      </c>
      <c r="C12" s="43">
        <f>IF(A12&lt;=$B$9,1,0)</f>
        <v>1</v>
      </c>
      <c r="D12" s="43">
        <f>IF(C12=0,0,IF(A12=1,1,IF(A12=$B$9,4,IF(A12&lt;=3,A12,Calendario!$K$2))))</f>
        <v>1</v>
      </c>
      <c r="H12" s="22" t="s">
        <v>237</v>
      </c>
      <c r="M12" s="26">
        <v>46671</v>
      </c>
      <c r="N12" s="27" t="s">
        <v>238</v>
      </c>
    </row>
    <row r="13" spans="1:14">
      <c r="A13" s="22">
        <v>2</v>
      </c>
      <c r="B13" s="28">
        <f>$B$7+7*(A13-1)</f>
        <v>46335</v>
      </c>
      <c r="C13" s="43">
        <f>IF(A13&lt;=$B$9,1,0)</f>
        <v>1</v>
      </c>
      <c r="D13" s="43">
        <f>IF(C13=0,0,IF(A13=1,1,IF(A13=$B$9,4,IF(A13&lt;=3,A13,Calendario!$K$2))))</f>
        <v>2</v>
      </c>
      <c r="H13" s="22" t="s">
        <v>239</v>
      </c>
      <c r="M13" s="26">
        <v>46692</v>
      </c>
      <c r="N13" s="27" t="s">
        <v>240</v>
      </c>
    </row>
    <row r="14" spans="1:14">
      <c r="A14" s="22">
        <v>3</v>
      </c>
      <c r="B14" s="28">
        <f>$B$7+7*(A14-1)</f>
        <v>46342</v>
      </c>
      <c r="C14" s="43">
        <f>IF(A14&lt;=$B$9,1,0)</f>
        <v>1</v>
      </c>
      <c r="D14" s="43">
        <f>IF(C14=0,0,IF(A14=1,1,IF(A14=$B$9,4,IF(A14&lt;=3,A14,Calendario!$K$2))))</f>
        <v>3</v>
      </c>
      <c r="H14" s="22" t="s">
        <v>1</v>
      </c>
      <c r="M14" s="26">
        <v>46729</v>
      </c>
      <c r="N14" s="27" t="s">
        <v>215</v>
      </c>
    </row>
    <row r="15" spans="1:14">
      <c r="A15" s="22">
        <v>4</v>
      </c>
      <c r="B15" s="28">
        <f>$B$7+7*(A15-1)</f>
        <v>46349</v>
      </c>
      <c r="C15" s="43">
        <f>IF(A15&lt;=$B$9,1,0)</f>
        <v>1</v>
      </c>
      <c r="D15" s="43">
        <f>IF(C15=0,0,IF(A15=1,1,IF(A15=$B$9,4,IF(A15&lt;=3,A15,Calendario!$K$2))))</f>
        <v>4</v>
      </c>
      <c r="H15" s="22" t="s">
        <v>241</v>
      </c>
    </row>
    <row r="16" spans="1:14">
      <c r="A16" s="22">
        <v>5</v>
      </c>
      <c r="B16" s="28">
        <f>$B$7+7*(A16-1)</f>
        <v>46356</v>
      </c>
      <c r="C16" s="43">
        <f>IF(A16&lt;=$B$9,1,0)</f>
        <v>0</v>
      </c>
      <c r="D16" s="43">
        <f>IF(C16=0,0,IF(A16=1,1,IF(A16=$B$9,4,IF(A16&lt;=3,A16,Calendario!$K$2))))</f>
        <v>0</v>
      </c>
    </row>
    <row r="17" spans="1:1">
      <c r="A17" s="2" t="s">
        <v>242</v>
      </c>
    </row>
    <row r="18" spans="1:1">
      <c r="A18" s="2" t="s">
        <v>243</v>
      </c>
    </row>
    <row r="20" spans="1:1">
      <c r="A20" s="44" t="s">
        <v>244</v>
      </c>
    </row>
    <row r="21" spans="1:1">
      <c r="A21" s="45" t="s">
        <v>245</v>
      </c>
    </row>
    <row r="22" spans="1:1">
      <c r="A22" s="45" t="s">
        <v>246</v>
      </c>
    </row>
    <row r="23" spans="1:1">
      <c r="A23" s="45" t="s">
        <v>247</v>
      </c>
    </row>
    <row r="24" spans="1:1">
      <c r="A24" s="45" t="s">
        <v>248</v>
      </c>
    </row>
    <row r="25" spans="1:1">
      <c r="A25" s="45" t="s">
        <v>249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15"/>
  <sheetViews>
    <sheetView zoomScaleNormal="100" workbookViewId="0">
      <selection activeCell="C12" sqref="C12"/>
    </sheetView>
  </sheetViews>
  <sheetFormatPr baseColWidth="10" defaultColWidth="10.7109375" defaultRowHeight="15"/>
  <cols>
    <col min="1" max="1" width="32" customWidth="1"/>
    <col min="2" max="2" width="44.5703125" customWidth="1"/>
    <col min="3" max="3" width="61.140625" customWidth="1"/>
    <col min="4" max="4" width="25.42578125" customWidth="1"/>
    <col min="5" max="5" width="27.28515625" customWidth="1"/>
    <col min="6" max="6" width="30.140625" customWidth="1"/>
  </cols>
  <sheetData>
    <row r="2" spans="1:6" ht="18.75" customHeight="1">
      <c r="A2" s="46" t="s">
        <v>250</v>
      </c>
    </row>
    <row r="3" spans="1:6" ht="36.75" customHeight="1">
      <c r="A3" s="88" t="s">
        <v>23</v>
      </c>
      <c r="B3" s="89" t="s">
        <v>24</v>
      </c>
      <c r="C3" s="89"/>
      <c r="D3" s="89"/>
      <c r="E3" s="89"/>
      <c r="F3" s="89"/>
    </row>
    <row r="4" spans="1:6" ht="15.75" customHeight="1">
      <c r="A4" s="88"/>
      <c r="B4" s="48" t="s">
        <v>25</v>
      </c>
      <c r="C4" s="48" t="s">
        <v>26</v>
      </c>
      <c r="D4" s="49" t="s">
        <v>27</v>
      </c>
      <c r="E4" s="49" t="s">
        <v>28</v>
      </c>
      <c r="F4" s="48" t="s">
        <v>29</v>
      </c>
    </row>
    <row r="5" spans="1:6" ht="31.5" customHeight="1">
      <c r="A5" s="88"/>
      <c r="B5" s="50" t="s">
        <v>251</v>
      </c>
      <c r="C5" s="51" t="s">
        <v>252</v>
      </c>
      <c r="D5" s="52" t="s">
        <v>253</v>
      </c>
      <c r="E5" s="53" t="s">
        <v>254</v>
      </c>
      <c r="F5" s="54" t="s">
        <v>255</v>
      </c>
    </row>
    <row r="6" spans="1:6" ht="110.25" customHeight="1">
      <c r="A6" s="88"/>
      <c r="B6" s="55"/>
      <c r="D6" s="56" t="s">
        <v>256</v>
      </c>
      <c r="E6" s="55" t="s">
        <v>257</v>
      </c>
      <c r="F6" s="55" t="s">
        <v>258</v>
      </c>
    </row>
    <row r="7" spans="1:6" ht="15.75" customHeight="1">
      <c r="A7" s="90" t="s">
        <v>41</v>
      </c>
      <c r="B7" s="57" t="s">
        <v>25</v>
      </c>
      <c r="C7" s="47" t="s">
        <v>26</v>
      </c>
      <c r="D7" s="49" t="s">
        <v>27</v>
      </c>
      <c r="E7" s="48" t="s">
        <v>28</v>
      </c>
      <c r="F7" s="48" t="s">
        <v>29</v>
      </c>
    </row>
    <row r="8" spans="1:6" ht="31.5" customHeight="1">
      <c r="A8" s="90"/>
      <c r="B8" s="58" t="s">
        <v>259</v>
      </c>
      <c r="C8" s="59"/>
      <c r="D8" s="47"/>
      <c r="E8" s="48"/>
      <c r="F8" s="60" t="s">
        <v>260</v>
      </c>
    </row>
    <row r="9" spans="1:6" ht="72.75" customHeight="1">
      <c r="A9" s="90"/>
      <c r="B9" s="61"/>
      <c r="C9" s="52" t="s">
        <v>261</v>
      </c>
      <c r="D9" s="56" t="s">
        <v>262</v>
      </c>
      <c r="E9" s="51" t="s">
        <v>263</v>
      </c>
      <c r="F9" s="59"/>
    </row>
    <row r="10" spans="1:6" ht="15.75" customHeight="1">
      <c r="A10" s="91" t="s">
        <v>52</v>
      </c>
      <c r="B10" s="48" t="s">
        <v>25</v>
      </c>
      <c r="C10" s="48" t="s">
        <v>26</v>
      </c>
      <c r="D10" s="48" t="s">
        <v>27</v>
      </c>
      <c r="E10" s="57" t="s">
        <v>28</v>
      </c>
      <c r="F10" s="47" t="s">
        <v>29</v>
      </c>
    </row>
    <row r="11" spans="1:6" ht="31.5" customHeight="1">
      <c r="A11" s="91"/>
      <c r="B11" s="48"/>
      <c r="C11" s="62" t="s">
        <v>264</v>
      </c>
      <c r="D11" s="57"/>
      <c r="E11" s="47"/>
      <c r="F11" s="60" t="s">
        <v>260</v>
      </c>
    </row>
    <row r="12" spans="1:6" ht="54" customHeight="1">
      <c r="A12" s="91"/>
      <c r="B12" s="62"/>
      <c r="C12" s="62" t="s">
        <v>265</v>
      </c>
      <c r="D12" s="56" t="s">
        <v>262</v>
      </c>
      <c r="E12" s="63"/>
      <c r="F12" s="59"/>
    </row>
    <row r="13" spans="1:6" ht="18" customHeight="1">
      <c r="A13" s="88" t="s">
        <v>62</v>
      </c>
      <c r="B13" s="89" t="s">
        <v>63</v>
      </c>
      <c r="C13" s="89"/>
      <c r="D13" s="89"/>
      <c r="E13" s="89"/>
      <c r="F13" s="89"/>
    </row>
    <row r="14" spans="1:6" ht="15.75" customHeight="1">
      <c r="A14" s="88"/>
      <c r="B14" s="49" t="s">
        <v>25</v>
      </c>
      <c r="C14" s="49" t="s">
        <v>26</v>
      </c>
      <c r="D14" s="48" t="s">
        <v>27</v>
      </c>
      <c r="E14" s="48" t="s">
        <v>28</v>
      </c>
      <c r="F14" s="48" t="s">
        <v>29</v>
      </c>
    </row>
    <row r="15" spans="1:6" ht="47.25" customHeight="1">
      <c r="A15" s="88"/>
      <c r="B15" s="59"/>
      <c r="C15" s="64" t="s">
        <v>266</v>
      </c>
      <c r="D15" s="56" t="s">
        <v>262</v>
      </c>
      <c r="E15" s="65" t="s">
        <v>266</v>
      </c>
      <c r="F15" s="55"/>
    </row>
  </sheetData>
  <mergeCells count="6">
    <mergeCell ref="A3:A6"/>
    <mergeCell ref="B3:F3"/>
    <mergeCell ref="A7:A9"/>
    <mergeCell ref="A10:A12"/>
    <mergeCell ref="A13:A15"/>
    <mergeCell ref="B13:F13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Calendario</vt:lpstr>
      <vt:lpstr>Plan semanal</vt:lpstr>
      <vt:lpstr>Periódicas</vt:lpstr>
      <vt:lpstr>Detalle de tareas</vt:lpstr>
      <vt:lpstr>Configuración</vt:lpstr>
      <vt:lpstr>Versión original</vt:lpstr>
      <vt:lpstr>Calendario!Área_de_impresión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Ricardo Yañez Soto</dc:creator>
  <dc:description/>
  <cp:lastModifiedBy>drogueria disam</cp:lastModifiedBy>
  <cp:revision>0</cp:revision>
  <dcterms:created xsi:type="dcterms:W3CDTF">2026-10-27T11:23:06Z</dcterms:created>
  <dcterms:modified xsi:type="dcterms:W3CDTF">2026-10-29T17:37:09Z</dcterms:modified>
  <dc:language>en-US</dc:language>
</cp:coreProperties>
</file>