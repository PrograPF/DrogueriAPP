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.1 SALA ALMACENAMIENTO\PENDIENTES PEDIDOS CESFAM\"/>
    </mc:Choice>
  </mc:AlternateContent>
  <xr:revisionPtr revIDLastSave="0" documentId="13_ncr:1_{86B8C63F-8027-411A-8A80-618E861C1C2F}" xr6:coauthVersionLast="47" xr6:coauthVersionMax="47" xr10:uidLastSave="{00000000-0000-0000-0000-000000000000}"/>
  <bookViews>
    <workbookView xWindow="-120" yWindow="-120" windowWidth="29040" windowHeight="15720" activeTab="1" xr2:uid="{5F42B4F1-F5FE-46F1-9570-967FB5798655}"/>
  </bookViews>
  <sheets>
    <sheet name="IngresoDeDatos" sheetId="1" r:id="rId1"/>
    <sheet name="BaseDeDatos" sheetId="2" r:id="rId2"/>
    <sheet name="Datos Diferencias" sheetId="5" r:id="rId3"/>
    <sheet name="HOJA DE INFORMACION SISTEMA" sheetId="3" r:id="rId4"/>
    <sheet name="Hoja2" sheetId="4" r:id="rId5"/>
    <sheet name="ESTADISTICAS ARELLY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C19" i="1"/>
  <c r="A4" i="5"/>
  <c r="C9" i="1" l="1"/>
  <c r="A87" i="5" l="1"/>
  <c r="L12" i="6"/>
  <c r="G43" i="6"/>
  <c r="G55" i="6" s="1"/>
  <c r="B43" i="6"/>
  <c r="B55" i="6" s="1"/>
  <c r="I55" i="6"/>
  <c r="B35" i="6"/>
  <c r="L27" i="6"/>
  <c r="L37" i="6"/>
  <c r="D55" i="6"/>
  <c r="Q30" i="6"/>
  <c r="S37" i="6"/>
  <c r="Q37" i="6"/>
  <c r="B31" i="6"/>
  <c r="S18" i="6"/>
  <c r="Q18" i="6"/>
  <c r="G28" i="6"/>
  <c r="G25" i="6"/>
  <c r="I37" i="6"/>
  <c r="D18" i="6"/>
  <c r="D37" i="6"/>
  <c r="L7" i="6"/>
  <c r="L18" i="6" s="1"/>
  <c r="N37" i="6"/>
  <c r="N18" i="6"/>
  <c r="I18" i="6"/>
  <c r="G18" i="6"/>
  <c r="B18" i="6"/>
  <c r="J9" i="1"/>
  <c r="H5" i="2"/>
  <c r="G37" i="6" l="1"/>
  <c r="B37" i="6"/>
</calcChain>
</file>

<file path=xl/sharedStrings.xml><?xml version="1.0" encoding="utf-8"?>
<sst xmlns="http://schemas.openxmlformats.org/spreadsheetml/2006/main" count="4227" uniqueCount="1400">
  <si>
    <t>Cod</t>
  </si>
  <si>
    <t>Descripcion</t>
  </si>
  <si>
    <t>Fecha</t>
  </si>
  <si>
    <t>Consumo</t>
  </si>
  <si>
    <t>Stock</t>
  </si>
  <si>
    <t>Pendiente</t>
  </si>
  <si>
    <t>listado de lugares</t>
  </si>
  <si>
    <t>Código</t>
  </si>
  <si>
    <t>Artículo</t>
  </si>
  <si>
    <t>"B18 CURETAS GRACEY 1/2 ALUMINIO AMARILLO MEDESY "</t>
  </si>
  <si>
    <t>"B18 CURETAS GRACEY 11/12 ALUMINIO NEGRO MEDESY "</t>
  </si>
  <si>
    <t>"B18 CURETAS GRACEY 13/14 ALUMINIO MARRON MEDESY "</t>
  </si>
  <si>
    <t>"B18 CURETAS GRACEY 3/4 ALUMINIO ROJO MEDESY "</t>
  </si>
  <si>
    <t>"B18 CURETAS GRACEY 5/6 ALUMINIO AZUL MEDESY "</t>
  </si>
  <si>
    <t>"B18 CURETAS GRACEY 7/8 ALUMINIO VERDE MEDESY "</t>
  </si>
  <si>
    <t>"B18 CURETAS GRACEY 9/10 ALUMINIO BLANCO MEDESY "</t>
  </si>
  <si>
    <t>"DENTAL AGUJAS XX- LARGAS CARPULE 27G X 40MM. CAJA X 100 UNIDADES "</t>
  </si>
  <si>
    <t>58 MOLDE 7 ANTERO SUPERIOR</t>
  </si>
  <si>
    <t>58 MOLDE K ANTERO INFERIOR</t>
  </si>
  <si>
    <t>ACEITE PARA TURBINA SIMILAR NSK 560ml</t>
  </si>
  <si>
    <t>ACICLOVIR 400MG.COMPRIMIDOS RECUBIERTOS</t>
  </si>
  <si>
    <t>ACIDO ACETILSALICILICO COMP 100 MG</t>
  </si>
  <si>
    <t>ACIDO ACETILSALICILICO COMP 500 MG</t>
  </si>
  <si>
    <t>ACIDO FOLICO 1MG</t>
  </si>
  <si>
    <t>ACIDO FOLICO 5 MG COMPRIMIDO</t>
  </si>
  <si>
    <t>ACIDO GEL PARA COMPOSITE 2,5GR. - 37%</t>
  </si>
  <si>
    <t>ACIDO MEFENAMICO 500MG CM</t>
  </si>
  <si>
    <t>ACIDO TRANEXAMICO 1G/10ML SOL. INYECT. (X UNIDAD)</t>
  </si>
  <si>
    <t>ACIDO VALPROICO 250MG.COMPRIMIDOS RECUBIERTOS</t>
  </si>
  <si>
    <t>ACIDO VALPROICO 500 MG COMPRIMIDOS RECUBIERTOS</t>
  </si>
  <si>
    <t>ACONDICIONADOR DE TEJIDOS LYNAL DENTSPLY</t>
  </si>
  <si>
    <t>ACRILICO CUBETA RAPIDO 250 GRS</t>
  </si>
  <si>
    <t>ACRILICO ROSADA TERMOCURADO</t>
  </si>
  <si>
    <t>ACRILICO TERMOCURADO VETEADO 250 GRS</t>
  </si>
  <si>
    <t>ACTIVADOR SILICONA ACTIVADOR 60 ML</t>
  </si>
  <si>
    <t>ADAPTADOR DE FRESAS</t>
  </si>
  <si>
    <t>ADENOSINA 6MG./2ML. FRASCO AMPOLLA</t>
  </si>
  <si>
    <t>ADHESIVO PARA CUBETA</t>
  </si>
  <si>
    <t>ADHESIVO PARA RESINA SINGLE BOND</t>
  </si>
  <si>
    <t>ADHESIVOS IMPRESIÓN DENTAL KERR REPOSICION ADHESIVO OPTIBOND FL, FRASCO 8ML,</t>
  </si>
  <si>
    <t>ADHESIVOS IMPRESIÓN DENTAL KERR REPOSICION PRIMER P/ADHESIVO OPTIBOND FL, FRASCO 8 ML, UNIDAD</t>
  </si>
  <si>
    <t>ADHESIVOS PARA SILICONAS DENTALES</t>
  </si>
  <si>
    <t>AEROCAMARA ADULTO VALVULADA 650CC / UNIDAD</t>
  </si>
  <si>
    <t>AEROCAMARA NEONATAL 180ML / UNIDAD</t>
  </si>
  <si>
    <t>AEROCAMARA PEDIATRICA 400ML / UNIDAD</t>
  </si>
  <si>
    <t>AGUA BIDESTILADA AMPOLLA 5 ML / 10ML (X UNIDAD)</t>
  </si>
  <si>
    <t>AGUA BIDESTILADA ENVASE 500 ML (X UNIDAD)</t>
  </si>
  <si>
    <t>AGUA OXIGENADA 10 VOL (110 CC)</t>
  </si>
  <si>
    <t>AGUJA DESECHABLE 19G X1" UNIDAD (CAJA X 100)</t>
  </si>
  <si>
    <t>AGUJA DESECHABLE 21G 1.1/2(CAJA X 100)</t>
  </si>
  <si>
    <t>AGUJA DESECHABLE 23G X 1 / CAJA</t>
  </si>
  <si>
    <t>AGUJA DESECHABLE 25G ( 1 ) / CAJA</t>
  </si>
  <si>
    <t>AGUJA DESECHABLE 25G 5/8 (CAJA X 100)</t>
  </si>
  <si>
    <t>ALAMBRE 0.9MM</t>
  </si>
  <si>
    <t>ALAMBRE DE BRONCE 0.6 ROLLO</t>
  </si>
  <si>
    <t>ALAMBRE DE ORTODONCIA LIGADURA 0.010 MM ROLLO</t>
  </si>
  <si>
    <t>ALCOHOL 70° DESNATURALIZADO FRASCO 125CC</t>
  </si>
  <si>
    <t>ALCOHOL DESNATURALIZADO 70° 1LT</t>
  </si>
  <si>
    <t>ALCOHOL ETILICO 70° FRASCO 250CC (X UNIDAD)</t>
  </si>
  <si>
    <t>ALCOHOL GEL ENVASE 1 LT</t>
  </si>
  <si>
    <t>ALCOHOL GEL ENVASE 340 ML / 350 ML/ 500 ML</t>
  </si>
  <si>
    <t>ALCOHOL GEL SANITIZANTE PARA MANOS ELITE CAJA X 6 UNIDADES LITRO</t>
  </si>
  <si>
    <t>ALCOHOL METÍLICO (DE QUEMAR) FRASCO 1000 c.c</t>
  </si>
  <si>
    <t>ALGINATO 450 GRS PARA IMPRESION</t>
  </si>
  <si>
    <t>ALGODON HIDROFILO PRENSADO 1 KG / UNIDAD</t>
  </si>
  <si>
    <t>ALGODON HIDROFILO TORULAS TRENZADAS</t>
  </si>
  <si>
    <t>ALGODÓN HIDROFILO TORULAS O,5 G / UNIDAD</t>
  </si>
  <si>
    <t>ALICATE DE ORTODONCIA 3M WEINGART PUNTA PEQUENA UNIDAD</t>
  </si>
  <si>
    <t>ALICATE DE ORTODONCIA CORTE DISTAL DE ALAMBRE NITINOL 3000/69 TC UNIDAD</t>
  </si>
  <si>
    <t>ALICATE DE ORTODONCIA CORTADOR DE ALAMBRE DURO INCRUSTACIONES DE TUNGSTENO UNIDAD</t>
  </si>
  <si>
    <t>ALICATE JOHNSON CONTORNEADOR DE BANDAS Y CORONAS</t>
  </si>
  <si>
    <t>ALICATE PARA REMOVER BANDAS OLIVER JONES</t>
  </si>
  <si>
    <t>ALOPURINOL 100MG.COMPRIMIDOS</t>
  </si>
  <si>
    <t>ALPRAZOLAM 0,5 MG COMPRIMIDOS RANURADOS</t>
  </si>
  <si>
    <t>ALUMINIO HIDROXIDO GEL 6% SUSPENSION ORAL 180 ML</t>
  </si>
  <si>
    <t>AMALGAMA EN CAPSULA DE 1 PORC. CAJA X 50 UNIDADES</t>
  </si>
  <si>
    <t>AMIODARONA 200MG COMPRIMIDOS RANURADOS</t>
  </si>
  <si>
    <t>AMITRIPTILINA 25MG. COMPRIMIDOS RANURADOS</t>
  </si>
  <si>
    <t>AMLODIPINO 5 MG</t>
  </si>
  <si>
    <t>AMOXICILINA / ACIDO CLAVULANICO COMPRIMIDOS RECUBIERTOS 500/125 MG</t>
  </si>
  <si>
    <t>AMOXICILINA /A.CLAVULANICO 400/57 MG /5ML</t>
  </si>
  <si>
    <t>AMOXICILINA COMPRIMIDOS 500 MG</t>
  </si>
  <si>
    <t>AMOXICILINA P/SUSPENSION ORAL 500 MG/5 ML FC 60 ML</t>
  </si>
  <si>
    <t>ANESTESIA DENTAL INYECTABLE LIDOCAINA AL 2% (CAJA X 50)</t>
  </si>
  <si>
    <t>ANESTESIA TOPICA EN SPRAY 25 GRS</t>
  </si>
  <si>
    <t>APOSITO ADHESIVO TRANSPARENTE 6X7 CM (CAJAX100)</t>
  </si>
  <si>
    <t>APOSITO ALGINATO LAMINAS 5X5 CM (X UNIDAD)</t>
  </si>
  <si>
    <t>APOSITO ALGINATO MECHAS 2,2x30 CM (X UNIDAD)</t>
  </si>
  <si>
    <t>APOSITO CARBOXIMETILCELULOSA CON PLATA 10X10 CM (AQUACEL AG) (XCAJA)</t>
  </si>
  <si>
    <t>APOSITO ESPUMA HIDROFILICA 10X10 (CAJA X 10)</t>
  </si>
  <si>
    <t>APOSITO HIDROGEL EN GEL TUBO 15 GRS / UNIDAD</t>
  </si>
  <si>
    <t>APOSITO NO ADHERENTE MICROPERFORADO (TELFA)10X12 CM (X UNIDAD)</t>
  </si>
  <si>
    <t>APOSITO PROTECTOR ADHESIVO DE ESPUMA (RESTON) 16X20 CM (BOLSA)</t>
  </si>
  <si>
    <t>APOSITO SILICONA ESTERIL 7.5CM X 10CM / UNIDAD (REEMPLAZA JELONET)</t>
  </si>
  <si>
    <t>APOSITO TRADICIONAL ESPECIAL (GASA NO TEJIDA) 10X20 CM (UNIDAD)</t>
  </si>
  <si>
    <t>APOSITO TRADICIONAL GASA TEJIDA LAMINAS 10X10 CM (UNIDAD)</t>
  </si>
  <si>
    <t>ARCO DE ORTODONCIA REDONDO NITINOL SUP. DESDE 014 10 UNIDADES</t>
  </si>
  <si>
    <t>ARCO DE ORTODONCIA REDONDO NITINOL INF. DESDE 014 10 UNIDADES</t>
  </si>
  <si>
    <t>ARCO DE ORTODONCIA REDONDO NITINOL INF. DESDE 016 10 UNIDADES</t>
  </si>
  <si>
    <t>ARCO DE ORTODONCIA NITINOL RECTANGULAR 16X22 INF. 10 UNIDADES</t>
  </si>
  <si>
    <t>ARCO DE ORTODONCIA NITINOL RECTANGULAR 19 X 25 INF. 10 UNIDADES</t>
  </si>
  <si>
    <t>ARCO DE ORTODONCIA NITINOL RECTANGULAR 19 X 25 SUP. . 10 UNIDADES</t>
  </si>
  <si>
    <t>ARCO DE ORTODONCIA REDONDO NITINOL SUP. 012 10 UNIDADES</t>
  </si>
  <si>
    <t>ARCO DE ORTODONCIA REDONDO NITINOL INF. 012 10 UNIDADES</t>
  </si>
  <si>
    <t>ARCO DE ORTODONCIA REDONDO NITINOL SUP. DESDE 016 10 UNIDADES</t>
  </si>
  <si>
    <t>ARCOS DE ORTODONCIA NITINOL RECTANGULAR 17 X 25 INF. 10 UNIDADES</t>
  </si>
  <si>
    <t>ARCOS DE ORTODONCIA NITINOL RECTANGULAR 17X 25 SUP. 10 UNIDADES</t>
  </si>
  <si>
    <t>ARCOS DE ORTODONCIA NITINOL RECTANGULAR 16X22 SUP. 10 UNIDADES</t>
  </si>
  <si>
    <t>ATACADORES PLUGGER MANUAL 2/3 ROJO</t>
  </si>
  <si>
    <t>ATENOLOL 50 MG.COMPRIMIDOS RANURADOS</t>
  </si>
  <si>
    <t>ATORVASTATINA COMPRIMIDOS RANURADOS 20 MG</t>
  </si>
  <si>
    <t>ATROPINA SULFATO 1 MG/ML AMPOLLA</t>
  </si>
  <si>
    <t>ATROPINA/PAPAVERINA COMPRIMIDOS 0.5/40 MG( ANTIESPASMODICO CM P/ADULTO )</t>
  </si>
  <si>
    <t>AZITROMICINA 500MG C/RECUBIERTOS</t>
  </si>
  <si>
    <t>AZITROMICINA 200 MG/5ML FRASCO 15 ML</t>
  </si>
  <si>
    <t>Alambre 0.8 acero inoxidable para prótesis dental</t>
  </si>
  <si>
    <t>Arco de Young Metálico</t>
  </si>
  <si>
    <t>B18 BANDEJA ACANALADA ACERO 20X12 CMS</t>
  </si>
  <si>
    <t>B18 BRUÑIDOR BOLITA DOBLE (MEDIANO)</t>
  </si>
  <si>
    <t>B18 BRUÑIDOR BOLITA DOBLE (PEQUEÑO)</t>
  </si>
  <si>
    <t>B18 BRUÑIDOR DE PERA O CABEZA DE HUEVO (CHICO)</t>
  </si>
  <si>
    <t>B18 BRUÑIDOR Y TALLADOR HOLLEMBACK O SIMILAR (GRANDE)</t>
  </si>
  <si>
    <t>B18 CAJA METALICA PERFORADA</t>
  </si>
  <si>
    <t>B18 CONDENSADOR DE AMALGAMA CILINDRICO P/REDONDA</t>
  </si>
  <si>
    <t>B18 CONDENSADOR DE AMALGAMA CILINDRICO PLANO</t>
  </si>
  <si>
    <t>B18 CONDENSADOR DE AMALGAMA CONO DOBLE</t>
  </si>
  <si>
    <t>B18 CONDENSADOR DE AMALGAMA CONO/ESPATULA</t>
  </si>
  <si>
    <t>B18 CUCHARETA DE CARIES 57/58 PEQUEÑA</t>
  </si>
  <si>
    <t>B18 CUCHARETA DE CARIES 69/70 MEDIANA</t>
  </si>
  <si>
    <t>B18 CUCHARETAS DE ABCESO CURVA</t>
  </si>
  <si>
    <t>B18 ELEVADOR ACERO INOX. RECTO FINO (2-3mm)</t>
  </si>
  <si>
    <t>B18 ELEVADOR ACERO INOX. RECTO GRUESO (6-7mm)</t>
  </si>
  <si>
    <t>B18 ELEVADOR ACERO INOX. RECTO MEDIANO (4-5mm)</t>
  </si>
  <si>
    <t>B18 ELEVADOR BAYONETA DERECHO ACERO INOX.</t>
  </si>
  <si>
    <t>B18 ELEVADOR BAYONETA IZQUIERDO ACERO INOX.</t>
  </si>
  <si>
    <t>B18 ELEVADOR WINTER DERECHO ACERO INOX.</t>
  </si>
  <si>
    <t>B18 ELEVADOR WINTER IZQUIERDO ACERO INOX.</t>
  </si>
  <si>
    <t>B18 ESPATULA Y CONDENSADOR P/COMPOSITE</t>
  </si>
  <si>
    <t>B18 FORCEP BAYONETA INGLES C/ESPOLON IZQUIERDO N°18</t>
  </si>
  <si>
    <t>B18 FORCEP CURVO SOBRE EL BORDE GRUESO N° 22-22G</t>
  </si>
  <si>
    <t>B18 FORCEP CURVO SOBRE EL BORDE MEDIANO N° 75-73</t>
  </si>
  <si>
    <t>B18 FORCEP CURVO SOBRE EL PLANO GRUESO N° 79</t>
  </si>
  <si>
    <t>B18 FORCEP INFANTIL CURVO SOBRE EL BORDE FINO</t>
  </si>
  <si>
    <t>B18 FORCEP INFANTIL PARA MOLARES BAYONETA</t>
  </si>
  <si>
    <t>B18 FORCEP INGLES UNIVERSAL SIN Y CON ESPOLON N° 18B-18A</t>
  </si>
  <si>
    <t>B18 FORCEP RECTO ANTERIOR GRUESO N°2</t>
  </si>
  <si>
    <t>B18 FORCEPS BAYONETA FINO N° 51</t>
  </si>
  <si>
    <t>B18 FOREP RECTO ANTERIOR MEDIANO N° 3</t>
  </si>
  <si>
    <t>B18 JERINGA CARPULE CARGA POSTERIOR C/ ARGOLLA</t>
  </si>
  <si>
    <t>B18 LEGRA N° 9 882 MEDESY CIRUGIA</t>
  </si>
  <si>
    <t>B18 LIMA P/ HUESO ACERO INOX.</t>
  </si>
  <si>
    <t>B18 MANGO BISTURI N°3</t>
  </si>
  <si>
    <t>B18 PINZA ADSON</t>
  </si>
  <si>
    <t>B18 PORTA AGUJA CASTRO VIEJO</t>
  </si>
  <si>
    <t>B18 PORTA AGUJA MAYO ACERO INOX.</t>
  </si>
  <si>
    <t>B18 PORTA AMALGAMA METALICO.</t>
  </si>
  <si>
    <t>B18 SEPARADOR DE LABIO MINESOTA</t>
  </si>
  <si>
    <t>B18 SEPARADOR DE LABIO FARABEUF X 2</t>
  </si>
  <si>
    <t>B18 SONDAS PERIODONTAL CAROLINA DE NORTE AWAN INOX</t>
  </si>
  <si>
    <t>B18 TIJERA ENCIA CURVA GOLDMAN FOX</t>
  </si>
  <si>
    <t>B18 TIJERA ENCIA RECTA</t>
  </si>
  <si>
    <t>BACITRACINA / NEOMICINA (ANTIBIOTICO DERMICO) UNGÜENTO</t>
  </si>
  <si>
    <t>BAJALENGUA DESECHABLE CAJA 100 UNIDADES</t>
  </si>
  <si>
    <t>BARNIZ 3M CINPRO WHITE BÁRNIZ DE FLÚOR 24 UNIDOSIS UNIDAD</t>
  </si>
  <si>
    <t>BARNIZ AISLANTE 1000CC</t>
  </si>
  <si>
    <t>BARNIZ DE FLUOR COLOR CAFE FRASCO 10 ML.</t>
  </si>
  <si>
    <t>BARRERA GINGIVAL ( similar top dam) 3.8 GRS JERINGA</t>
  </si>
  <si>
    <t>BATA PACIENTE TOMA DE RAYOS X MANGA CORTA ADULTO (TALLA ESTANDAR ENTREGA X UNIDAD)</t>
  </si>
  <si>
    <t>BATERIAS Ls-14250 1/2 Aa 3.6V SAFT</t>
  </si>
  <si>
    <t>BETAMETASONA ACETATO 3MG./ BETAMETASONA FOSFATO DISODICO 3 MG./SUSP. INYECTABLE 3 ML.</t>
  </si>
  <si>
    <t>BETAMETASONA DIPROPIONATO TOPICA 0.05% CREMA 15 GRS</t>
  </si>
  <si>
    <t>BETAMETASONA FOSFATO DISODICO 4 MG/ML. AMPOLLAS</t>
  </si>
  <si>
    <t>BISTURI DESECHABLE N° 11 HOJA X CAJA</t>
  </si>
  <si>
    <t>BISTURI DESECHABLE N° 15 X CAJA DE 100</t>
  </si>
  <si>
    <t>BISTURI MANGO DESECHABLE N° 11 CON MANGO</t>
  </si>
  <si>
    <t>BISTURI MANGO DESECHABLE N° 15 CON MANGO X CAJA</t>
  </si>
  <si>
    <t>BOLSA DE PAPEL 1/2 X UNIDAD</t>
  </si>
  <si>
    <t>BOLSA MORTUORIA</t>
  </si>
  <si>
    <t>BOLSA RECOLECTORA ORINA ADULTO CAPACIDAD 2 LTS X UNIDAD</t>
  </si>
  <si>
    <t>BOLSA RECOLECTORA ORINA PEDIATRICA CAPACIDAD 150 ML (CAJA X 100)</t>
  </si>
  <si>
    <t>BOLSA ZIPPER 10X16 / UNIDAD</t>
  </si>
  <si>
    <t>BOLSAS HERMETICAS 18 CM X 20 CM</t>
  </si>
  <si>
    <t>BOLSAS PLASTICAS 15 CM X 20 CM X UNIDAD</t>
  </si>
  <si>
    <t>BOQUILLA DE ESPIROMETRIA DESECHABLE (X UNIDAD)</t>
  </si>
  <si>
    <t>BOTA INMOVILIZADORA DE TOBILLO TALLA L</t>
  </si>
  <si>
    <t>BOTA INMOVILIZADORA DE TOBILLO TALLA M</t>
  </si>
  <si>
    <t>BOTA INMOVILIZADORA DE TOBILLO TALLA S</t>
  </si>
  <si>
    <t>BOTA INMOVILIZADORA DE TOBILLO TALLA XL</t>
  </si>
  <si>
    <t>BOTA INMOVILIZADORA DE TOBILLO TALLA XS</t>
  </si>
  <si>
    <t>BOUGGIE DE 10 FR X UNIDADES</t>
  </si>
  <si>
    <t>BOUGGIE DE 15 FR X UNIDADES</t>
  </si>
  <si>
    <t>BROMURURO IPRATROPIO 20MCG/FENOTEROL 50MCG 200 DOSIS</t>
  </si>
  <si>
    <t>C.M. BATA QUIRURGICA TALLA L DESECH. ESTERIL</t>
  </si>
  <si>
    <t>C.M. BATA QUIRURGICA TALLA M DESECH ESTERIL</t>
  </si>
  <si>
    <t>C.M. BATA QUIRURGICA TALLA XL DESECHABLE ESTERIL / UNIDAD</t>
  </si>
  <si>
    <t>C.M. CINTA ADHESIVA MEDICA 3M TELA SUAVE MEDIPORE H (5CM X 9M)</t>
  </si>
  <si>
    <t>C.M. FRASCO BIOPSIA 20ML MARCA 2TRSECURBIOP20</t>
  </si>
  <si>
    <t>C.M. LAPIZ ELECTROQUIRURGICO / UNIDAD</t>
  </si>
  <si>
    <t>C.M. PAÑO QUIRURGICO FENESTRADO 40 X 50 ESTERIL</t>
  </si>
  <si>
    <t>C.M. PLACA UNIVERSAL ELECTROCIRUGIA DIVIDIDA CESFAM ALERCE</t>
  </si>
  <si>
    <t>C.M. SUTURA FACIL ABSORCION 3-0 75CMS (CAJA X 12)</t>
  </si>
  <si>
    <t>C.M. SUTURA FACIL ABSORCION 4-0 75CMS (caja x 12)</t>
  </si>
  <si>
    <t>C.M.ELECTRODO UNIVERSAL DE RETORNO HRA6 (X UNIDAD)</t>
  </si>
  <si>
    <t>CABESTRILLO ESTANDAR ADULTO</t>
  </si>
  <si>
    <t>CABESTRILLO ESTANDAR PEDIATRICO</t>
  </si>
  <si>
    <t>CAJA PLASTICA 6 LITROS</t>
  </si>
  <si>
    <t>CAJA PLASTICA 70 LITROS X UNIDAD</t>
  </si>
  <si>
    <t>CALIBRACIÓN DATA LOGGER DROGUERÍA</t>
  </si>
  <si>
    <t>CALZADOR BLANCO NO ESTERILIZABLE PIERNA CURACIONES</t>
  </si>
  <si>
    <t>CANULA MAYO N 0 (X UNIDAD)</t>
  </si>
  <si>
    <t>CANULA MAYO N 1 (X UNIDAD)</t>
  </si>
  <si>
    <t>CANULA MAYO N 2 (X UNIDAD)</t>
  </si>
  <si>
    <t>CANULA MAYO N 3(X UNIDAD)</t>
  </si>
  <si>
    <t>CANULA MAYO N 4(X UNIDAD)</t>
  </si>
  <si>
    <t>CANULA MAYO N 5 (X UNIDAD)</t>
  </si>
  <si>
    <t>CANULA O CATETER INTRAVENA 14 G(X UNIDAD)</t>
  </si>
  <si>
    <t>CANULA O CATETER INTRAVENA 16 G(X UNIDAD)</t>
  </si>
  <si>
    <t>CANULA O CATETER INTRAVENA 18 G(X UNIDAD)</t>
  </si>
  <si>
    <t>CANULA O CATETER INTRAVENA 20 G (CAJA X 50 O X 100)</t>
  </si>
  <si>
    <t>CANULA O CATETER INTRAVENA 22 G CAJAX50 O CAJAX100</t>
  </si>
  <si>
    <t>CANULA O CATETER INTRAVENA 24 G (X CAJA)</t>
  </si>
  <si>
    <t>CANULA YANKAHUER / UNIDAD</t>
  </si>
  <si>
    <t>CAPTOPRIL 25 MG. COMPRIMIDOS RANURADOS</t>
  </si>
  <si>
    <t>CARBAMAZEPINA 200 MG COMPRIMIDO</t>
  </si>
  <si>
    <t>CARBON ACTIVADO 50MG</t>
  </si>
  <si>
    <t>CARGOS</t>
  </si>
  <si>
    <t>CARVEDILOL 12,5 MG.COMPRIMIDOS BIRANURADOS</t>
  </si>
  <si>
    <t>CARVEDILOL 25 MG.COMPRIMIDOS BIRANURADOS</t>
  </si>
  <si>
    <t>CARVEDILOL 6.25 MG CM</t>
  </si>
  <si>
    <t>CATGUT 2/0 CON AGUJA SEMICIRCULAR ATRAUMATICA (X CAJA)</t>
  </si>
  <si>
    <t>CATGUT 3/0 CON AGUJA SEMICIRCULAR ATRAUMATICA (X CAJA)</t>
  </si>
  <si>
    <t>CATGUT 4/0 CON AGUJA SEMICIRCULAR ATRAUMATICA (X CAJA)</t>
  </si>
  <si>
    <t>CCC AMIODARONA 150 MG/3 ML. AMPOLLAS (CCC)</t>
  </si>
  <si>
    <t>CCC CLORPROMAZINA 25MG./2ML. AMPOLLAS</t>
  </si>
  <si>
    <t>CCC FITOQUINONA 1 MG/ML AMPOLLAS (CCC)</t>
  </si>
  <si>
    <t>CCC FLUMAZENILO 0,5MG./5ML. AMPOLLAS (CCC)</t>
  </si>
  <si>
    <t>CCC GELATINA FLUIDA EXPANSOR VOLUMEN PLASMATICO 4% FRASCO SOL. INYECTABLE 500ML (CCC)</t>
  </si>
  <si>
    <t>CCC GLUCONATO DE CALCIO 10% AMPOLLAS 10ML (CCC)</t>
  </si>
  <si>
    <t>CCC HALOPERIDOL 1 MG COMPRIMIDOS (CCC)</t>
  </si>
  <si>
    <t>CCC HALOPERIDOL 5 MG./ML. AMPOLLLAS (CCC)</t>
  </si>
  <si>
    <t>CCC MAGNESIO SULFATO 25% SOL. INYECTABLE AMPOLLAS 5 ML (CCC)</t>
  </si>
  <si>
    <t>CCC NALOXONA CLORHIDRATO SOLUCION INYECTABLE 0,4MG/ML</t>
  </si>
  <si>
    <t>CCC PROPRANOLOL 1MG./ML. SOLUCION INYECTABLE - AMPOLLAS</t>
  </si>
  <si>
    <t>CCC S.P. GLUCOSA 30% SOLUCION INYECTABLE AMPOLLAS 20ML (CCC)</t>
  </si>
  <si>
    <t>CCC SODIO BICARBONATO 8,4 % SOLUCION INYECTABLE - AMPOLLAS 10 ML (CCC)</t>
  </si>
  <si>
    <t>CCC SUCCINILCOLINA (SUXAMETONIO CLORURO) AMPOLLAS 100MG/5ML.</t>
  </si>
  <si>
    <t>CEAPS BATA QUIRURGICA (PAQUETE X 2)</t>
  </si>
  <si>
    <t>CEAPS CUBETA PARA IMPRESION ACERO LISA INFERIOR M-L3</t>
  </si>
  <si>
    <t>CEAPS PUNTA DE GOMA P/ ACRILICO GRIS PUNTA REDONDA</t>
  </si>
  <si>
    <t>CEFADROXILO CM RECUBIERTO 500MG.</t>
  </si>
  <si>
    <t>CEFADROXILO POLVO P/SUSPENSION ORAL 250 MG/5 ML FC 60 ML</t>
  </si>
  <si>
    <t>CEFAZOLINA 1G AMPOLLAS (UNIDAD)</t>
  </si>
  <si>
    <t>CEMENTO TEMPORAL FRASCO 40 GRS ( SIMILAR FERMIN)</t>
  </si>
  <si>
    <t>CEMENTO TOP SEAL -TUBLISEAL ENDODONTICO AH PLUS</t>
  </si>
  <si>
    <t>CEPILLERO ACRÍLICO CON TAPA PARA 16 CEPILLOS GANCHO ACRÍLICO PARA TOLLAS, ACRÍLICO CLEAR (TRANSPARENTE) 4 MM, CON BISAGRA</t>
  </si>
  <si>
    <t>CEPILLERO ACRÍLICO CON TAPA PARA 5 CEPILLOS, GANCHO DE ACRÍLICO PARA TOALLAS, ACRÍLICO CLEAR (TRANSPARENTE) 4MM BISAGRA QUE INCLUYA VASOS PARA 266 CC</t>
  </si>
  <si>
    <t>CEPILLO ADULTO EMBARAZADA PROGRAMA</t>
  </si>
  <si>
    <t>CEPILLO BEBE TIPO DEDAL SEMBRANDO PROGRAMA</t>
  </si>
  <si>
    <t>CEPILLO DE PRÓTESIS</t>
  </si>
  <si>
    <t>CEPILLO DENTAL 6 AÑOS</t>
  </si>
  <si>
    <t>CEPILLO DENTAL ADULTO SUAVE</t>
  </si>
  <si>
    <t>CEPILLO DENTAL INFANTIL SUAVE</t>
  </si>
  <si>
    <t>CEPILLO SEMBRANDO 2 A 5 AÑOS PROGRAMA</t>
  </si>
  <si>
    <t>CERA ROSADA EN LAMINAS</t>
  </si>
  <si>
    <t>CIANOCOBALAMINA 0.1 MG/1 ML AMPOLLAS</t>
  </si>
  <si>
    <t>CICLOBENZAPRINA 10MG.COMPRIMIDOS RANURADOS</t>
  </si>
  <si>
    <t>CINCEL OCHSENBEIN</t>
  </si>
  <si>
    <t>CINTA EMBALAJE TRANSPARENTE</t>
  </si>
  <si>
    <t>CINTA INDICADOR QUIMICO AUTOCLAVE INTERNO (CAJA O BOLSA )</t>
  </si>
  <si>
    <t>CINTA INDICADOR QUIMICO DE AUTOCLAVE EXTERNO ROLLO</t>
  </si>
  <si>
    <t>CINTA MICROPOROSA DE PAPEL 2,5X9,1 MT UNIDAD</t>
  </si>
  <si>
    <t>CINTAS DE AFRONTAMIENTO CUTANEO (CAJA O BOLSA X 50)</t>
  </si>
  <si>
    <t>CINTAS PARA COLESTEROLEMIA CAJA 25 UNIDADES</t>
  </si>
  <si>
    <t>CINTAS PARA GLICEMIA CAJA 50 UNIDADES</t>
  </si>
  <si>
    <t>CIPROFLOXACINO 500 MG COMPRIMIDOS RECUBIERTOS</t>
  </si>
  <si>
    <t>CITALOPRAM 20 MG</t>
  </si>
  <si>
    <t>CIZALLA CORTADOR DE ALAMBRE DURO</t>
  </si>
  <si>
    <t>CLAMPS ANTERIOR N° 212</t>
  </si>
  <si>
    <t>CLAMPS MOLAR N° 1</t>
  </si>
  <si>
    <t>CLAMPS MOLAR N° 14</t>
  </si>
  <si>
    <t>CLAMPS MOLAR N° 2</t>
  </si>
  <si>
    <t>CLAMPS MOLAR N° 2A</t>
  </si>
  <si>
    <t>CLAMPS MOLAR N° 7</t>
  </si>
  <si>
    <t>CLAMPS MOLAR N° 7A</t>
  </si>
  <si>
    <t>CLAMPS MOLAR N° 8A</t>
  </si>
  <si>
    <t>CLAMPS MOLAR N° W2A</t>
  </si>
  <si>
    <t>CLAMPS PREMOLAR N° 2</t>
  </si>
  <si>
    <t>CLAMPS PREMOLAR N° 207</t>
  </si>
  <si>
    <t>CLAMPS PREMOLAR N° 209</t>
  </si>
  <si>
    <t>CLARITROMICINA 500 MG COMPRIMIDOS RECUBIERTOS</t>
  </si>
  <si>
    <t>CLARITROMICINA SUSPENSION ORAL 250MG./5ML.FC .</t>
  </si>
  <si>
    <t>CLINDAMICINA 300 MG. CAPSULAS</t>
  </si>
  <si>
    <t>CLONAZEPAM 0,5 MG COMPRIMIDOS RANURADOS</t>
  </si>
  <si>
    <t>CLONAZEPAM 2 MG COMPRIMIDOS RANURADOS</t>
  </si>
  <si>
    <t>CLONIXINATO DE LISINA 125MG.COMPRIMIDOS RECUBIERTOS</t>
  </si>
  <si>
    <t>CLOPIDOGREL 75MG</t>
  </si>
  <si>
    <t>CLORANFENICOL SOLUCION P/GOTAS OFTALMICAS AL 0,5% FC 10ML.</t>
  </si>
  <si>
    <t>CLORANFENICOL UNGUENTO OFTALMICO 1% TB 3,5 GRS</t>
  </si>
  <si>
    <t>CLORFENAMINA 2MG./5ML. SUSPENSION ORAL FC 120ML.</t>
  </si>
  <si>
    <t>CLORFENAMINA JBE 2.5MG/5ML FCO 100ML</t>
  </si>
  <si>
    <t>CLORFENAMINA MALEATO 10 MG/ML. AMPOLLAS</t>
  </si>
  <si>
    <t>CLORFENAMINA MALEATO 4 MG. COMPRIMIDOS</t>
  </si>
  <si>
    <t>CLORHEXIDINA 2 % 100ML (X UNIDAD) TENSOACTIVO JABONOSO</t>
  </si>
  <si>
    <t>CLORHEXIDINA 2 % 125ML (X UNIDAD) ANTISEPTICO TOPICO</t>
  </si>
  <si>
    <t>CLORHEXIDINA COLUTARIO 012% 120 O 150 ML</t>
  </si>
  <si>
    <t>CLORPROMAZINA 100 MG COMPRIMIDO</t>
  </si>
  <si>
    <t>CLORURO DE POTASIO 10% AMPOLLA 10 ML</t>
  </si>
  <si>
    <t>CLOTRIMAZOL CREMA 1% TUBO 20 GRS.</t>
  </si>
  <si>
    <t>CLOTRIMAZOL 100 MG. CM OVULOS VAGINALES</t>
  </si>
  <si>
    <t>CLOTRIMAZOL 500 MG. OVULOS VAGINALES</t>
  </si>
  <si>
    <t>CLOXACILINA SODICA 500 MG CÁPSULAS</t>
  </si>
  <si>
    <t>CLOXACILINA SODICA 500 MG. FRASCO AMPOLLA</t>
  </si>
  <si>
    <t>COLUTORIO DE FLUOR 0.05 250 ML</t>
  </si>
  <si>
    <t>COMPOSITE 3M FILTEK BULK FILL JERINGA 4 G. TONO A2 UNIDAD</t>
  </si>
  <si>
    <t>COMPOSITE HARMONIZE DA 3.5</t>
  </si>
  <si>
    <t>COMPOSITE HARMONIZE DA1</t>
  </si>
  <si>
    <t>COMPOSITE HARMONIZE DA3</t>
  </si>
  <si>
    <t>COMPOSITE HARMONIZE DB3</t>
  </si>
  <si>
    <t>COMPOSITE HARMONIZE EA3</t>
  </si>
  <si>
    <t>COMPOSITE HARMONIZE EA4</t>
  </si>
  <si>
    <t>COMPOSITE SIMILAR Z 350 3M JERINGA A1 4GRS TIEMPO CURADO 20SEG.</t>
  </si>
  <si>
    <t>COMPOSITE SIMILAR Z 350 3M JERINGA A2 4GRS TIEMPO CURADO 20SEG.</t>
  </si>
  <si>
    <t>COMPOSITE SIMILAR Z 350 3M JERINGA A3 4GRS TIEMPO CURADO 20SEG.</t>
  </si>
  <si>
    <t>COMPOSITE SIMILAR Z 350 3M JERINGA A3.5 4GRS TIEMPO CURADO 20SEG.</t>
  </si>
  <si>
    <t>COMPOSITE SIMILAR Z 350 3M JERINGA B1 4GRS TIEMPO CURADO 20SEG.</t>
  </si>
  <si>
    <t>COMPOSITE SIMILAR Z 350 3M JERINGA B2 4GRS TIEMPO CURADO 20SEG.</t>
  </si>
  <si>
    <t>COMPOSITE SIMILAR Z 350 FLOW JERINGA - A3 (X UNIDAD)</t>
  </si>
  <si>
    <t>COMPOSITE SIMILAR Z 350 FLOW JERINGA -A2 (UNIDAD)</t>
  </si>
  <si>
    <t>COMPOSITE SIMPLESHADE DARK</t>
  </si>
  <si>
    <t>COMPOSITE SIMPLESHADE LIGHT</t>
  </si>
  <si>
    <t>COMPOSITE SIMPLESHADE MEDIUM</t>
  </si>
  <si>
    <t>COMPOSITE UNIVERSAL FILTEK BULK FILL JERINGA 4 GR (A3)</t>
  </si>
  <si>
    <t>CONJUNTO ASPIRADORES ENDODONTICO METALICO x 3 UNIDADES</t>
  </si>
  <si>
    <t>CONOS DE PAPEL N° 15-40 200POINT SIMILAR GADAPENT CAJA X 120</t>
  </si>
  <si>
    <t>CONOS DE PAPEL N° 45-80 200POINT SIMILAR GADAPENT CAJA X 120</t>
  </si>
  <si>
    <t>CONOS GU TAPERCHA N° 35 POINT SIMILAR GADAPENT CAJA X 120 UNIDADES</t>
  </si>
  <si>
    <t>CONOS GUTAPERCHA N2 45-80</t>
  </si>
  <si>
    <t>CONOS GUTAPERCHA N° 30* 120POINT SIMILAR GADAPENT CAJA</t>
  </si>
  <si>
    <t>CONOS GUTAPERCHA N° 40 120POINT SIMILAR GADAPENT CAJA X 120</t>
  </si>
  <si>
    <t>CONOS GUTAPERCHA N°25 120POINT SIMILAR GADAPENT CAJA X 120</t>
  </si>
  <si>
    <t>CONOS GUTAPERCHA Nº 15-40 120POINTS SIMILAR GADAPENT CAJA x120</t>
  </si>
  <si>
    <t>CORONA PREFORMADA METALICAS SET X 48 UNIDADES</t>
  </si>
  <si>
    <t>CPU PARCHE TRANSDéRMICO BUPRENORFINA 35 MCG</t>
  </si>
  <si>
    <t>CPU ACIDO TRANEXAMICO COMPRIMIDO</t>
  </si>
  <si>
    <t>CPU BIFOSFATO DE SODIO 5,9 GRS, SOLUCIóN ENEMA RECTAL 133ML</t>
  </si>
  <si>
    <t>CPU BOMBA ELASTOMERICA 270 ML (X CAJA)</t>
  </si>
  <si>
    <t>CPU BOMBA ELASTOMERICA 400 ML (X CAJA)</t>
  </si>
  <si>
    <t>CPU CLORPROMAZINA 25 MG CAJ 100 GRAGEAS</t>
  </si>
  <si>
    <t>CPU DEXAMETASONA 4 MG COMPRIMIDOS</t>
  </si>
  <si>
    <t>CPU DEXAMETASONA 4 MG/ML AMPOLLAS</t>
  </si>
  <si>
    <t>CPU DULOXETINA 30 MG CAPSULAS</t>
  </si>
  <si>
    <t>CPU KETOROLACO 10 MG COMPRIMIDOS</t>
  </si>
  <si>
    <t>CPU MORFINA 20 MG / ML GOTAS</t>
  </si>
  <si>
    <t>CPU ONDANSETRÓN 8 MG COMPRIMIDOS</t>
  </si>
  <si>
    <t>CPU PICOSULFATO DE SODIO GOTAS 7,5 MG / ML</t>
  </si>
  <si>
    <t>CPU PREGABALINA 75MG CM/CP</t>
  </si>
  <si>
    <t>CPU SOBRES DE POLIETILENGLICOL 17GRS POLVO PARA SOLUCIÓN ORAL</t>
  </si>
  <si>
    <t>CPU TRAMADOL AMP 100 MG / 2 ML</t>
  </si>
  <si>
    <t>CUBETA PARA IMPRESION SUPERIOR LISA M-U3</t>
  </si>
  <si>
    <t>CUBETA PLASTICA NEGRA 70L</t>
  </si>
  <si>
    <t>CUBETAS DE IMPRESIóN DENTAL INFERIOR TAMAñO XXS</t>
  </si>
  <si>
    <t>CUBETAS DE IMPRESIóN DENTAL SUPERIOR TAMAñO XS</t>
  </si>
  <si>
    <t>CUBETAS DE IMPRESIóN DENTAL SUPERIOR TAMAñO XXS</t>
  </si>
  <si>
    <t>CUBRE CALZADO x unidad</t>
  </si>
  <si>
    <t>CUÑAS SURTIDAS DE MADERA X BOLSA</t>
  </si>
  <si>
    <t>Cera Amarilla en láminas</t>
  </si>
  <si>
    <t>Creta x kg</t>
  </si>
  <si>
    <t>DATALOGGER</t>
  </si>
  <si>
    <t>DELANTAL PLOMADO ADULTO</t>
  </si>
  <si>
    <t>DELANTAL PLOMADO PEDIATRICO</t>
  </si>
  <si>
    <t>DENTAL AGUJAS CORTAS CARPULE. 30G X 21MM</t>
  </si>
  <si>
    <t>DENTAL AGUJAS INTERMEDIAS CARPULE 30G X 25MM</t>
  </si>
  <si>
    <t>DENTAL AGUJAS LARGAS CARPULE 27G X 32MM</t>
  </si>
  <si>
    <t>DENTAL AGUJAS PARA IRRIGACION DE CONDUCTO (25 O 27)</t>
  </si>
  <si>
    <t>DENTAL AGUJAS ULTRA CORTA 25G CAJA X 100 UNIDADES</t>
  </si>
  <si>
    <t>DENTAL COMPOSITE FLOW BULK/SUREFIL FLUIDA</t>
  </si>
  <si>
    <t>DENTAL E.D.T.A SOLUCION 17% LIQUIDO 50 ML</t>
  </si>
  <si>
    <t>DENTAL ENDOICE SPRAY</t>
  </si>
  <si>
    <t>DENTAL ESCOBILLA DE PAÑETE ALGODON</t>
  </si>
  <si>
    <t>DENTAL FRESARIO CON IMAN PARA FRESAS PIEZA DE MANO</t>
  </si>
  <si>
    <t>DENTAL FRESON CARBIDE P/M C1027</t>
  </si>
  <si>
    <t>DENTAL PECHERA NIÑO</t>
  </si>
  <si>
    <t>DENTAL PECHERAS ADULTO</t>
  </si>
  <si>
    <t>DENTAL SERVILLETAS TIPO BABERO X 100U</t>
  </si>
  <si>
    <t>DESINFECTANTE PARA EQUIPO ESPIRóMETRO 81GRS FRASCO</t>
  </si>
  <si>
    <t>DESLORATADINA 2,5MG/ML</t>
  </si>
  <si>
    <t>DETERGENTE ENZIMATICO ENVASE 5 LT</t>
  </si>
  <si>
    <t>DETERGENTE TRIENZIMATICO 5 LT CESFAM ALERCE</t>
  </si>
  <si>
    <t>DIAZEPAM 10MG. COMPRIMIDOS RANURADOS</t>
  </si>
  <si>
    <t>DIAZEPAM 10MG/2ML. AMPOLLAS</t>
  </si>
  <si>
    <t>DICLOFENACO FC 15MG/ML SOLUCION GOTAS ORALES FC 20ML.</t>
  </si>
  <si>
    <t>DICLOFENACO SODICO 75MG/3ML. AMPOLLAS</t>
  </si>
  <si>
    <t>DICLOFENACO SODICO 12,5MG. SUPOSITORIOS INFANTILES</t>
  </si>
  <si>
    <t>DICLOFENACO SODICO 50 MG COMPRIMIDOS RECUBIERTO</t>
  </si>
  <si>
    <t>DIENTE ANTERO SUPERIOR</t>
  </si>
  <si>
    <t>DIENTE POSTERIOR INFERIOR</t>
  </si>
  <si>
    <t>DIENTE POSTEROSUPERIOR</t>
  </si>
  <si>
    <t>DIENTES 47 (32L) POSTERO SUPERIOR</t>
  </si>
  <si>
    <t>DIENTES 47. (10) ANTERO SUPERIOR</t>
  </si>
  <si>
    <t>DIENTES 41 (12) ANTERO SUPERIOR</t>
  </si>
  <si>
    <t>DIENTES 41 B ANTERO INFERIOR</t>
  </si>
  <si>
    <t>DIENTES 41 G ANTERO INFERIOR</t>
  </si>
  <si>
    <t>DIENTES 41 H ANTERO INFERIOR</t>
  </si>
  <si>
    <t>DIENTES 42 (10) ANTERIO SUPERIOR</t>
  </si>
  <si>
    <t>DIENTES 42 (23) ANTERO SUPERIOR</t>
  </si>
  <si>
    <t>DIENTES 42 (3) ANTERO SUPERIOR</t>
  </si>
  <si>
    <t>DIENTES 42 (30 L) POSTERO INFERIOR</t>
  </si>
  <si>
    <t>DIENTES 42 (32 L) POSTERIOR INFERIOR</t>
  </si>
  <si>
    <t>DIENTES 42 (32 L) POSTERO SUPERIOR</t>
  </si>
  <si>
    <t>DIENTES 42 (34 L)POSTERO SUPERIOR</t>
  </si>
  <si>
    <t>DIENTES 42 (34L) POSTERO INFERIOR</t>
  </si>
  <si>
    <t>DIENTES 42 (8 ) ANTERO SUPERIOR</t>
  </si>
  <si>
    <t>DIENTES 42 (A) ANTERO INFERIOR</t>
  </si>
  <si>
    <t>DIENTES 42 (H) ANTERO INFERIOR</t>
  </si>
  <si>
    <t>DIENTES 42 (K) ANTERO INFERIOR</t>
  </si>
  <si>
    <t>DIENTES 42 30L POSTERO SUPERIOR</t>
  </si>
  <si>
    <t>DIENTES 42(7) ANTERO SUPERIOR</t>
  </si>
  <si>
    <t>DIENTES 43 (10) ANTERO SUPERIOR SUPERIOR</t>
  </si>
  <si>
    <t>DIENTES 43 (3 ) ANTERO SUPERIOR</t>
  </si>
  <si>
    <t>DIENTES 43 (30) ANTERO SUPERIOR</t>
  </si>
  <si>
    <t>DIENTES 43 (32L) POSTERO SUPERIOR</t>
  </si>
  <si>
    <t>DIENTES 43 (A) ANTERO INFERIOR</t>
  </si>
  <si>
    <t>DIENTES 43 A ANTERO INFERIOR</t>
  </si>
  <si>
    <t>DIENTES 45 (10 ) ANTERO SUPERIOR</t>
  </si>
  <si>
    <t>DIENTES 45 (23 ) ANTERO SUPERIOR</t>
  </si>
  <si>
    <t>DIENTES 45 (3 ) ANTERO SUPERIOR</t>
  </si>
  <si>
    <t>DIENTES 45 (30L ) POSTERO SUPERIOR</t>
  </si>
  <si>
    <t>DIENTES 45 (30L) POSTERO INFERIOR</t>
  </si>
  <si>
    <t>DIENTES 45 (32L) POSTERO INFERIOR</t>
  </si>
  <si>
    <t>DIENTES 45 (32L) POSTERO SUPERIOR</t>
  </si>
  <si>
    <t>DIENTES 45 (34 L ) POSTERO INFERIOR</t>
  </si>
  <si>
    <t>DIENTES 45 (34L)POSTERO SUPERIOR</t>
  </si>
  <si>
    <t>DIENTES 45 (7) ANTERIOR SUPERIOR</t>
  </si>
  <si>
    <t>DIENTES 45 (8 ) ANTERO SUPERIOR</t>
  </si>
  <si>
    <t>DIENTES 45 (A) ANTERIOR INFERIOR</t>
  </si>
  <si>
    <t>DIENTES 45 (B) ANTERO INFERIOR</t>
  </si>
  <si>
    <t>DIENTES 45 (H) ANTERO INFERIOR</t>
  </si>
  <si>
    <t>DIENTES 45 (K ) ANTERO INFERIOR</t>
  </si>
  <si>
    <t>DIENTES 46 (23 ) ANTERIOR SUPERIOR</t>
  </si>
  <si>
    <t>DIENTES 46 (32 L ) POSTERO SUPERIOR</t>
  </si>
  <si>
    <t>DIENTES 46 (10 ) ANTERO SUPERIOR</t>
  </si>
  <si>
    <t>DIENTES 46 (14) ANTERO SUPERIOR</t>
  </si>
  <si>
    <t>DIENTES 46 (3 ) ANTERO SUPERIOR</t>
  </si>
  <si>
    <t>DIENTES 46 (30) POSTERO INFERIOR</t>
  </si>
  <si>
    <t>DIENTES 46 (30L) POSTERO SUPERIOR</t>
  </si>
  <si>
    <t>DIENTES 46 (32 L ) POSTERO INFERIOR</t>
  </si>
  <si>
    <t>DIENTES 46 (34 L) POSTERO INFERIOR</t>
  </si>
  <si>
    <t>DIENTES 46 (34L) POSTERO SUPERIOR</t>
  </si>
  <si>
    <t>DIENTES 46 (7 ) ANTERO SUPERIOR</t>
  </si>
  <si>
    <t>DIENTES 46 (8 ) ANTERO SUPERIOR</t>
  </si>
  <si>
    <t>DIENTES 46 (G ) ANTERO INFERIOR</t>
  </si>
  <si>
    <t>DIENTES 46 (K ) ANTERO INFERIOR</t>
  </si>
  <si>
    <t>DIENTES 47 ( 3) ANTERO SUPERIOR</t>
  </si>
  <si>
    <t>DIENTES 47 (30L) POSTERO INFERIOR</t>
  </si>
  <si>
    <t>DIENTES 47 (30L) POSTERO SUPERIOR</t>
  </si>
  <si>
    <t>DIENTES 47 (32 L) POSTERIOR INFEIOR</t>
  </si>
  <si>
    <t>DIENTES 47 (34L)POSTERO SUPERIOR</t>
  </si>
  <si>
    <t>DIENTES 47 (7 ) ANTERO SUPERIOR</t>
  </si>
  <si>
    <t>DIENTES 47 (A) ANTERO INFERIOR</t>
  </si>
  <si>
    <t>DIENTES 47 (B) ANTERIO INFERIOR</t>
  </si>
  <si>
    <t>DIENTES 47 (H) POSTERO INFERIOR</t>
  </si>
  <si>
    <t>DIENTES 47 34L POSTERO INFERIOR</t>
  </si>
  <si>
    <t>DIENTES 47 G ANTERO INTERIOR</t>
  </si>
  <si>
    <t>DIENTES 47 K ANTERO INFERIOR</t>
  </si>
  <si>
    <t>DIENTES 58 (A) ANTERO INFERIOR</t>
  </si>
  <si>
    <t>DIENTES 58 (10) ANTERO SUPERIOR</t>
  </si>
  <si>
    <t>DIENTES 58 (3) ANTERO SUPERIOR</t>
  </si>
  <si>
    <t>DIENTES 58 (30L) POSTERO INFERIOR</t>
  </si>
  <si>
    <t>DIENTES 58 (30L) POSTERO SUPERIOR</t>
  </si>
  <si>
    <t>DIENTES 58 (32L ) POSTERO INFERIOR</t>
  </si>
  <si>
    <t>DIENTES 58 (32L ) POSTERO SUPERIOR</t>
  </si>
  <si>
    <t>DIENTES 58 (8 ) ANTERO SUPERIOR</t>
  </si>
  <si>
    <t>DIENTES 58 (H) ANTERO INFERIOR</t>
  </si>
  <si>
    <t>DIENTES ANTERO INFERIOR</t>
  </si>
  <si>
    <t>DIGOXINA 0,25 MG. COMPRIMIDOS RANURADOS</t>
  </si>
  <si>
    <t>DISCOS SOFLEX CHICO, GRANO FINO SOBRE ( 1981 F )</t>
  </si>
  <si>
    <t>DISCOS SOFLEX CHICO, GRANO GRUESO SOBRE ( 1981C)</t>
  </si>
  <si>
    <t>DISCOS SOFLEX CHICO, GRANO MEDIANO SOBRE ( 1981M)</t>
  </si>
  <si>
    <t>DISCOS SOFLEX CHICO, GRANO SUPER FINO ( 1981 SF)</t>
  </si>
  <si>
    <t>DISCOS SOFLEX GRANDES, GRANO FINO SOBRE (1982F)</t>
  </si>
  <si>
    <t>DISCOS SOFLEX GRANDES, GRANO GRUESO SOBRE (1982C)</t>
  </si>
  <si>
    <t>DISCOS SOFLEX GRANDES, GRANO MEDIANO SOBRE ( 1982 M )</t>
  </si>
  <si>
    <t>DISPENSADOR ALCOHOL GEL LITRO ELITTE COMODATO</t>
  </si>
  <si>
    <t>DISPENSADOR TOALLA INTERFOLIADA ELITE / UNIDAD</t>
  </si>
  <si>
    <t>DISULFIRAM 500 MG. COMPRIMIDOS</t>
  </si>
  <si>
    <t>DOMPERIDONA 10MG./ ML. GOTAS FRASCO GOTARIO 20 ML.</t>
  </si>
  <si>
    <t>DYCALERO ACERO INOXIDABLE</t>
  </si>
  <si>
    <t>ELASTICOS SEPARADORES DENTARIOS</t>
  </si>
  <si>
    <t>ELECTRODO COVIDEN DE RETORNO BIPOLAR</t>
  </si>
  <si>
    <t>ELECTRODO DESECHABLE PARA TENS (AUTOADHESIVOS 5x5 CMS) ENVASE 4 UNIDADES</t>
  </si>
  <si>
    <t>ELECTRODO INSTRAMED DE PALETA ADULTO / UNIDAD</t>
  </si>
  <si>
    <t>ELECTRODO INSTRAMED DE PALETA PEDIATRICO / UNIDAD</t>
  </si>
  <si>
    <t>ELECTRODO ZOLL PARCHE ZOLL ADULTO STAT PADZ UNIDAD</t>
  </si>
  <si>
    <t>ELECTRODO ZOLL PARCHE ZOLL PEDIATRICO STAT PADZ UNIDAD</t>
  </si>
  <si>
    <t>ELECTRODOS ECG (UNIVERSALES) BOLSA X 50U</t>
  </si>
  <si>
    <t>EMPUJADOR DE BANDAS PLASTICO C/TRIANGULO METAL</t>
  </si>
  <si>
    <t>ENALAPRIL 10MG. COMPRIMIDOS RANURADOS</t>
  </si>
  <si>
    <t>EPINEFRINA 1MG/ML. AMPOLLAS</t>
  </si>
  <si>
    <t>EQUIPO ACUTREND PLUS</t>
  </si>
  <si>
    <t>EQUIPO CURACION DESECHABLE (UNIDAD)</t>
  </si>
  <si>
    <t>EQUIPO DE MONITOREO DE GLUCOSA</t>
  </si>
  <si>
    <t>EQUIPO INFUS.SOL. MACROGOTEO 15 A 20 GOTAS /ML(BAJADA DE SUERO) X25U</t>
  </si>
  <si>
    <t>EQUIPO INFUS.SOL. MICROGOTEO 60GOTAS/ML (BAJADA DE SUERO)(BOLSA X 5)</t>
  </si>
  <si>
    <t>EQUIPO INFUSION INTRAVENOSA (MARIPOSA) CON AGUJA 21 G (XUNIDAD)</t>
  </si>
  <si>
    <t>EQUIPO INFUSION INTRAVENOSA (MARIPOSA) CON AGUJA 23 G 3\4 (UNIDAD)</t>
  </si>
  <si>
    <t>EQUIPO INFUSION INTRAVENOSA (MARIPOSA) CON AGUJA 25 G / UNIDAD</t>
  </si>
  <si>
    <t>ERITROMICINA 500MG. COMPRIMIDOS RECUBIERTOS</t>
  </si>
  <si>
    <t>ESCARIADORES 15-40 X CAJA</t>
  </si>
  <si>
    <t>ESCARIADORES 45-80 X CAJA</t>
  </si>
  <si>
    <t>ESCOBILLA HP ALGODON TELA PAÑETE 22 MM</t>
  </si>
  <si>
    <t>ESCOBILLAS EN FORMA DE TAZA X BOLSA</t>
  </si>
  <si>
    <t>ESCOPOLAMINA 20MG./ML. AMPOLLAS</t>
  </si>
  <si>
    <t>ESCUDO FACIAL DESECHABLE X UNIDAD</t>
  </si>
  <si>
    <t>ESPACIADOR DIGITAL #40</t>
  </si>
  <si>
    <t>ESPACIADOR MANUAL N40</t>
  </si>
  <si>
    <t>ESPACIADOR MANUAL N50</t>
  </si>
  <si>
    <t>ESPACIADOR MANUAL N60</t>
  </si>
  <si>
    <t>ESPACIO DIGITAL #30</t>
  </si>
  <si>
    <t>ESPATULA PARA MEZCLAR ALGINATO YESO 209 - 215MM UNIDAD</t>
  </si>
  <si>
    <t>ESPATULA ACERO INOXIDABLE COLA CASTOR/CILINDRICA</t>
  </si>
  <si>
    <t>ESPATULA CEMENTO DOBLE</t>
  </si>
  <si>
    <t>ESPATULA DE PLASTICO, PARA VIDRIO IONOMERO</t>
  </si>
  <si>
    <t>ESPATULA WOODSON</t>
  </si>
  <si>
    <t>ESPATULA Y CONDENSADOR PARA APLICAR COMPOSITE TEFLON N2</t>
  </si>
  <si>
    <t>ESPECULO VAGINAL DESECHABLE TALLA M / UNIDAD</t>
  </si>
  <si>
    <t>ESPECULO VAGINAL DESECHABLE TALLA S / UNIDAD</t>
  </si>
  <si>
    <t>ESPECULO VAGINAL L</t>
  </si>
  <si>
    <t>ESPEJO Nº4 CAJA</t>
  </si>
  <si>
    <t>ESPEJOS Nº5 CAJA</t>
  </si>
  <si>
    <t>ESPIRONOLACTONA 25MG.COMPRIMIDOS</t>
  </si>
  <si>
    <t>ESR MIDAZOLAM 5MG/ML AMPOLLAS</t>
  </si>
  <si>
    <t>ETOMIDATO 20 MG / 10 ML AMPOLLA</t>
  </si>
  <si>
    <t>EUGENOL FRASCO 30 ml</t>
  </si>
  <si>
    <t>EYECTORES DESECHABLES X BOLSA</t>
  </si>
  <si>
    <t>Eszopiclona 3mg comprimidos recubierto</t>
  </si>
  <si>
    <t>FAMOTIDINA 40 MG COMPRIMIDOS</t>
  </si>
  <si>
    <t>FENITOINA 250 MG/5ML AMPOLLAS 5 ML</t>
  </si>
  <si>
    <t>FENITOINA SODICA 100MG. COMPRIMIDOS</t>
  </si>
  <si>
    <t>FENOBARBITAL 100MG. COMPRIMIDOS</t>
  </si>
  <si>
    <t>FENOBARBITAL 15MG. COMPRIMIDOS</t>
  </si>
  <si>
    <t>FENOBARBITAL 200MG/ML AMP</t>
  </si>
  <si>
    <t>FENOTEROL/IPRATROPIO 0,5MG./0,25MG./ML. SOLUCION PARA NEBULIZAR FRASCO GOTARIO 20 ML.</t>
  </si>
  <si>
    <t>FERROSO SULFATO 125 MG/ML SOLUCION P/ADM ORAL EN GOTAS FRASCO 30 ML.</t>
  </si>
  <si>
    <t>FERROSO SULFATO 200MG. COMPRIMIDOS RECUBIERTOS</t>
  </si>
  <si>
    <t>FERULA DIGITAL METALICA (X UNIDAD)</t>
  </si>
  <si>
    <t>FIERRO COMPLEJO HIERRO III POLIMALTOSADO COMPRIMIDOS 100 MG MASTICABLE</t>
  </si>
  <si>
    <t>FIGAMIN FLUORURO DE DIAMIN PLATA 38% FRASCO 5ML</t>
  </si>
  <si>
    <t>FILM ALUSA STRETCH SELLOCINTA ROLLO TRANSPERENTE / UNIDAD</t>
  </si>
  <si>
    <t>FILTRO TRAQUEOSTOMIA USO SAPU/SAR (X UNIDAD)</t>
  </si>
  <si>
    <t>FLUCLOXACILINA POLVO/SUSPENSION/ORAL 250 MG./5ML. FRASCO 60 ML.</t>
  </si>
  <si>
    <t>FLUCONAZOL 150MG. CAPSULAS</t>
  </si>
  <si>
    <t>FLUJOMETRO DE PARED / UNIDAD</t>
  </si>
  <si>
    <t>FLUJOMETRO REGULADOR CON TUERCA / UNIDAD</t>
  </si>
  <si>
    <t>FLUNARIZINA 10 MG CM</t>
  </si>
  <si>
    <t>FLUOXETINA 20MG. COMPRIMIDOS RANURADOS</t>
  </si>
  <si>
    <t>FOFAR APOSITO COLAGENO CON ALGINATO 5.1 CM X 5.1UNIDAD(FIBRACOL)</t>
  </si>
  <si>
    <t>FOFAR APOSITO DE MIEL EN GEL (X UNIDAD)</t>
  </si>
  <si>
    <t>FOFAR APOSITO ESPUMA HIDROFILICA C/ PLATA 10X10 CM ( X UNIDAD)</t>
  </si>
  <si>
    <t>FOFAR APOSITO INHIBIDOR METALOPROTEASA COLAGENO C/PLATA 28 CM (X UNIDAD)</t>
  </si>
  <si>
    <t>FOFAR APOSITO POLIESTER 10X10 ABSORBENTE ESTERIL (X UNIDAD)</t>
  </si>
  <si>
    <t>FOFAR BOTA DE DESCARGA PARA ULCERAS PLANTARES TALLA M</t>
  </si>
  <si>
    <t>FOFAR BOTA DE DESCARGA PARA ULCERAS PLANTARES TALLA S</t>
  </si>
  <si>
    <t>FOFAR CARBOXIMETILCELULOSA+PLATA 10X20CM CAJAX5 O 10X10CM CAJAX10</t>
  </si>
  <si>
    <t>FOFAR CURETAS 3MM O 4MM / UNIDAD</t>
  </si>
  <si>
    <t>FOFAR DACC LAMINA 7X9 (X UNIDAD)</t>
  </si>
  <si>
    <t>FOFAR ESPUMA HIDROFILICA CON SILICONA 10X10 (CAJA X 5 O 10)</t>
  </si>
  <si>
    <t>FOFAR ESPUMA LIMPIADORA / UNIDAD</t>
  </si>
  <si>
    <t>FOFAR HIDROGEL TUBO (UNIDAD)</t>
  </si>
  <si>
    <t>FOFAR HIPEROSMOTICO LAMINA C/RINGER PHMB SILICONA (UNIDAD)</t>
  </si>
  <si>
    <t>FOFAR LUBRICANTE CUTANEO / UNIDAD</t>
  </si>
  <si>
    <t>FOFAR PHMB ROLLO 11.4 CM X 3.7 MTS (X UNIDAD)</t>
  </si>
  <si>
    <t>FOFAR PLATA NANOCRISTALINA 10X10 CM (X UNIDAD)</t>
  </si>
  <si>
    <t>FOFAR PRONTOSAN SOLUCION DE LAVADO 350ML / UNIDAD</t>
  </si>
  <si>
    <t>FOFAR PROTECTOR CUTANEO SIN ARDOR (SPRAY) / UNIDAD</t>
  </si>
  <si>
    <t>FOFAR TULL DE SILICONA 7,5 X 10 CM ( X UNIDAD)</t>
  </si>
  <si>
    <t>FOFAR VENDA ELASTICA 8CM X4MT (X UNIDAD)</t>
  </si>
  <si>
    <t>FORCEP ACERO INOXIDABLE. CURVO SOBRE EL BORDE FINO</t>
  </si>
  <si>
    <t>FORCEP ACERO INOXIDABLE. RECTO ANTERIOR FINO</t>
  </si>
  <si>
    <t>FORCEPS AMERICANO ACERO INOXIDABLE. BAYONETA GRUESO</t>
  </si>
  <si>
    <t>FORCEPS ACERO INOXIDABLE. INGLES ESPOLON DERECHO</t>
  </si>
  <si>
    <t>FORCEPS ACERO INOXIDABLE. INGLES MEDIANO PREMOLARES</t>
  </si>
  <si>
    <t>FORCEPS AMERICANO ACERO INOXIDABLE. BAYONETA MEDIANO</t>
  </si>
  <si>
    <t>FORMOCRESOL. FRASCO DE 10 ML.</t>
  </si>
  <si>
    <t>FORMULARIO DE RECETAS CON FOLIO</t>
  </si>
  <si>
    <t>FORMULARIO DE RECETAS SIN FOLIO</t>
  </si>
  <si>
    <t>FORMULARIO DE RECETAS VERDES (PSICOTRÓPICOS)</t>
  </si>
  <si>
    <t>FRESA AGUJA LARGA N°12</t>
  </si>
  <si>
    <t>FRESA CARBIDE REDONDA N°14</t>
  </si>
  <si>
    <t>FRESA CARBIDE REDONDA N°18</t>
  </si>
  <si>
    <t>FRESA CARBIDE REDONDA N°21</t>
  </si>
  <si>
    <t>FRESA DE BAJA REDONDA N°21</t>
  </si>
  <si>
    <t>FRESA DE PULIDO D. DE BALÓN N°21-23 833EF</t>
  </si>
  <si>
    <t>FRESA DE PULIDO D.TRONCOCONICA PUNTA REDONDA N°14 850F</t>
  </si>
  <si>
    <t>FRESA DE PULIDO TRONCOCONICA AGUJA N°14 859EF</t>
  </si>
  <si>
    <t>FRESA DE PULIR AMALGAMA 48 204 016</t>
  </si>
  <si>
    <t>FRESA DIAMANTADA A. PIRIFORME N°14</t>
  </si>
  <si>
    <t>FRESA ENDO Z ALTA VELOCIIDAD</t>
  </si>
  <si>
    <t>FRESA ENDO Z BAJA VELOCIIDAD</t>
  </si>
  <si>
    <t>FRESA ENDOACCES N°1</t>
  </si>
  <si>
    <t>FRESA ENDOACCES N°2</t>
  </si>
  <si>
    <t>FRESA GATES 1-6 28MM</t>
  </si>
  <si>
    <t>FRESA GATES 32 MM N°1-6</t>
  </si>
  <si>
    <t>FRESA PULIDO C.HUEVO DORADO N°18 C379</t>
  </si>
  <si>
    <t>FRESA PULIDO D.BALON GRANO FINO N°23 830F</t>
  </si>
  <si>
    <t>FRESA PULIDO D.DE BALON N°23 833F</t>
  </si>
  <si>
    <t>FRESA PULIDO D.TRONCOCONICA N°18 850F</t>
  </si>
  <si>
    <t>FRESA QUIRURGICA DE ALTA VELOCIDAD (ZEKRYA) 0,18</t>
  </si>
  <si>
    <t>FRESA REDONDA C. DE BAJA N°12</t>
  </si>
  <si>
    <t>FRESA REDONDA C. DE BAJA N°14</t>
  </si>
  <si>
    <t>FRESA REDONDA C. T/LARGO N°14</t>
  </si>
  <si>
    <t>FRESA REDONDA CARBIDE 023 BAJA VELOCIDAD</t>
  </si>
  <si>
    <t>FRESA REDONDA D.TALLO LARGO N°14</t>
  </si>
  <si>
    <t>FRESA REDONDA DIAMANTADA GRANO GRUESO 1016-018</t>
  </si>
  <si>
    <t>FRESA REDONDA DIAMANTE N°23</t>
  </si>
  <si>
    <t>FRESAS CARBIDE MULTICUCHILLA N°16</t>
  </si>
  <si>
    <t>FRESAS DENTAL CARBIDE REDONDA 023 ALTA VELOCIDAD UNIDAD</t>
  </si>
  <si>
    <t>FRESAS DENTAL DIAMANTE TRONCOCONICA 014 A/V</t>
  </si>
  <si>
    <t>FRESAS DIAMANTADA ALTA VELOCIDAD CILINDRICA 014</t>
  </si>
  <si>
    <t>FRESAS DIAMANTADA A. CONO INVERTIDO N°14</t>
  </si>
  <si>
    <t>FRESAS REDONDA DE CARBIDE DE BAJA VELOCIDAD N°16</t>
  </si>
  <si>
    <t>FRESAS REDONDA DE CARBIDE DE BAJA VELOCIDAD N°18</t>
  </si>
  <si>
    <t>FRESAS REDONDA DIAMANTADA GRANO GRUESO DE ALTA VELOCIDAD N° 010</t>
  </si>
  <si>
    <t>FRESAS REDONDA DIAMANTADA GRANO GRUESO DE ALTA VELOCIDAD N° 012</t>
  </si>
  <si>
    <t>FRESAS REDONDA DIAMANTADA GRANO GRUESO DE ALTA VELOCIDAD N° 014</t>
  </si>
  <si>
    <t>FRESAS REDONDA DIAMANTADA GRANO GRUESO DE ALTA VELOCIDAD N° 016</t>
  </si>
  <si>
    <t>FRESAS TRANSMETAL MEDIANA</t>
  </si>
  <si>
    <t>FRESON DENTAL JOTA FRESÓN CARBURO DE TUNGSTENO MEDIO CILINDRICO 023 UNIDAD</t>
  </si>
  <si>
    <t>FRESON DE CARBIDE AZUL MEDIO P/M CX 251 060</t>
  </si>
  <si>
    <t>FRESON DE CARBIDE P/M TRONCO CONICA ESTRIADA C33=009</t>
  </si>
  <si>
    <t>FRESON DENTAL JOTA CARBURO DE TUNGSTENO PIMPOLLO MEDIO CX251G-060</t>
  </si>
  <si>
    <t>FRESÓN CARBURO DE LLAMA N°40</t>
  </si>
  <si>
    <t>FRESÓN CARBURO DE LLAMA N°45</t>
  </si>
  <si>
    <t>FRESÓN CARBURO PIMPOLLO N°60</t>
  </si>
  <si>
    <t>FRSON CARBIDE P/M CX-23-023</t>
  </si>
  <si>
    <t>FUMARATO FERROSO/CIANOCOBALAMINA/ACIDO ASCORBICO/ACIDO FOLICO(FIERRO MULTIVITAMINICO) CAPSULAS C/MICROGRANULOS</t>
  </si>
  <si>
    <t>FUROSEMIDA 20 MG/ML. AMPOLLAS</t>
  </si>
  <si>
    <t>FUROSEMIDA 40MG. COMPRIMIDOS RANURADOS</t>
  </si>
  <si>
    <t>GANCHOS PARA RADIOGRAFIA</t>
  </si>
  <si>
    <t>GASA HIDROFILA TEJIDA 90 MTS X ROLLO (X UNIDAD)</t>
  </si>
  <si>
    <t>GASA NO TEJIDA 10 CM X 10 CM PACK POR 2 UNIDADES</t>
  </si>
  <si>
    <t>GEL EQUIPO ULTRASONIDO ENVASE 5 LT (X UNIDAD)</t>
  </si>
  <si>
    <t>GELITA INDIVIDUAL X CAJA</t>
  </si>
  <si>
    <t>GEMFIBROZILO 600MG.COMPRIMIDOS RANURADOS</t>
  </si>
  <si>
    <t>GENTAMICINA 80MG./2ML. AMPOLLAS</t>
  </si>
  <si>
    <t>GES CEPILLO DENTAL ADULTO 60 AÑOS</t>
  </si>
  <si>
    <t>GES CEPILLO PROTESIS DENTAL 60 AÑOS</t>
  </si>
  <si>
    <t>GES PASTA DENTAL 5000 PPM FLUOR 60 AÑOS</t>
  </si>
  <si>
    <t>GES PASTA DENTAL ADULTO 1450 PPM 60 AÑOS</t>
  </si>
  <si>
    <t>GES SEDA DENTAL ADULTO 60 AÑOS</t>
  </si>
  <si>
    <t>GLIBENCLAMIDA 5 MG. COMPRIMIDOS RANURADOS</t>
  </si>
  <si>
    <t>GLIBENCLAMIDA/METFORMINA 5MG./500MG CM (GLIFORTEX)</t>
  </si>
  <si>
    <t>GLUCOSA 10% 500 ML MATRAZ</t>
  </si>
  <si>
    <t>GLUCOSA 30% MATRAZ 500 ML</t>
  </si>
  <si>
    <t>GLUCOSA 5% 250 ML MATRAZ</t>
  </si>
  <si>
    <t>GLUCOSA 5% 500 ML MATRAZ</t>
  </si>
  <si>
    <t>GODIVA LAPIZ COMPUESTO PARA MODELAR VERDE</t>
  </si>
  <si>
    <t>GOMA DIQUE (VERDE MEDIANA LATEX) X CAJA</t>
  </si>
  <si>
    <t>GORRO DESECHABLE EPP (X 100)</t>
  </si>
  <si>
    <t>GUANTE LATEX TALLA L (CAJA X100 UNIDADES)</t>
  </si>
  <si>
    <t>GUANTE LATEX TALLA M (CAJA X100 UNIDADES)</t>
  </si>
  <si>
    <t>GUANTE LATEX TALLA S CAJA 100 UNIDADES</t>
  </si>
  <si>
    <t>GUANTE LATEX TALLA XS SIN POLVO (CAJA X 100)</t>
  </si>
  <si>
    <t>GUANTE QUIRURGICO ESTERIL N 8 (X CAJA)</t>
  </si>
  <si>
    <t>GUANTES NITRILO L (CAJA X 100)</t>
  </si>
  <si>
    <t>GUANTES NITRILO M (CAJA X 100)</t>
  </si>
  <si>
    <t>GUANTES NITRILO S (CAJA X 100)</t>
  </si>
  <si>
    <t>GUANTES NITRILO XS . CAJA</t>
  </si>
  <si>
    <t>GUANTES Q ESTERILES 6 CAJA X 50 UNIDADES</t>
  </si>
  <si>
    <t>GUANTES Q ESTERILES N 6 1/2 CAJA X 50 UNIDADES</t>
  </si>
  <si>
    <t>GUANTES Q. ESTERILES 7 1/2 CAJA X 50 UNIDADES</t>
  </si>
  <si>
    <t>GUANTES Q.ESTERILES N 7 CAJA X 50 UNIDADES</t>
  </si>
  <si>
    <t>GUATERO ELECTRICO CON CABLE</t>
  </si>
  <si>
    <t>Goma Dique de Hule Flexidam no latex 6x6</t>
  </si>
  <si>
    <t>HEMOSTATICO SIMILAR HEMOSTOP 10 ML</t>
  </si>
  <si>
    <t>HEPARINA 25.000 UI/5ML</t>
  </si>
  <si>
    <t>HIDRALAZINA 50 MG COMPRIMIDOS RECUBIERTOS</t>
  </si>
  <si>
    <t>HIDROCLOROTIAZIDA 50 MG. COMPRIMIDOS RANURADOS</t>
  </si>
  <si>
    <t>HIDROCORTISONA 100 MG. FRASCO AMPOLLA POLVO LIOFILIZADO PARA SOLUCION INYECTABLE DISOLVENTE</t>
  </si>
  <si>
    <t>HIDROCORTISONA CREMA 1% TUBO 15 GRS.</t>
  </si>
  <si>
    <t>HIDROXIDO CALCIO JERINGA</t>
  </si>
  <si>
    <t>HIDROXIDO DE CALCIO CAPSULAS POLVO</t>
  </si>
  <si>
    <t>HIDROXIDO DE CALCIO SET ( BASE + CATALIZADO R) LIFE- DYCAL</t>
  </si>
  <si>
    <t>HILO RETRACTOR DELGADO # 1</t>
  </si>
  <si>
    <t>HILO RETRACTOR FINO 000</t>
  </si>
  <si>
    <t>HILO RETRACTOR GRUESO O</t>
  </si>
  <si>
    <t>HILO RETRACTOR MEDIANO 00</t>
  </si>
  <si>
    <t>HIPOCLORITO DE SODIO 5% X 1000 CC</t>
  </si>
  <si>
    <t>HOJA BISTURI N 21 (CAJA X 100)</t>
  </si>
  <si>
    <t>HOJA BISTURI N10 (CAJA X 100)</t>
  </si>
  <si>
    <t>HOJA BISTURI N11 (CAJA X 100)</t>
  </si>
  <si>
    <t>HUINCHA CELULOIDE RECTA</t>
  </si>
  <si>
    <t>HUINCHA LIJA METALICA X SOBRE</t>
  </si>
  <si>
    <t>HUINCHA LIJA SOFLEX</t>
  </si>
  <si>
    <t>HUINCHA PORTAMATRIZ 5 MM</t>
  </si>
  <si>
    <t>HUINCHA PORTAMATRIZ 7 MM</t>
  </si>
  <si>
    <t>HUMIDIFICADOR</t>
  </si>
  <si>
    <t>IBUPROFENO 200 MG/5 ML FRA 100 A 120ML</t>
  </si>
  <si>
    <t>IBUPROFENO 400 mg COMPRIMIDOS RECUBIERTOS</t>
  </si>
  <si>
    <t>IMIPRAMINA 25MG. COMPRIMIDOS RANURADOS</t>
  </si>
  <si>
    <t>INMOBILIZADOR DE HOMBRO L</t>
  </si>
  <si>
    <t>INMOBILIZADOR DE HOMBRO M</t>
  </si>
  <si>
    <t>INMOBILIZADOR DE HOMBRO S</t>
  </si>
  <si>
    <t>IONOMERO DE BASE EN JERINGA</t>
  </si>
  <si>
    <t>IONOMERO C/ RES VITREMER</t>
  </si>
  <si>
    <t>IONOMERO CHEMFIL</t>
  </si>
  <si>
    <t>IONOMERO KETAC MOLAR</t>
  </si>
  <si>
    <t>IONOMERO VITREBOND POLV LIQ</t>
  </si>
  <si>
    <t>IRA-ERA ADAPTADOR DE FILTRO</t>
  </si>
  <si>
    <t>IRA-ERA FILTRO VIRAL BACTERIANO</t>
  </si>
  <si>
    <t>IRA-ERA TURBINA DESECHABLE</t>
  </si>
  <si>
    <t>ISOSORBIDE DINITRATO 10 MG. COMPRIMIDOS RANURADOS</t>
  </si>
  <si>
    <t>Intercomunicador bidireccional manos libres</t>
  </si>
  <si>
    <t>JABON CREMA WORKTEEN ENRIQUECIDO C/ COBRE 1 LT CAJA POR 6</t>
  </si>
  <si>
    <t>JABON LIQUIDO CON TRICLOSAN 1% 340ml</t>
  </si>
  <si>
    <t>JERINGA 1CC 25G X 5/8 TUBERCULINA (CAJA X 100)</t>
  </si>
  <si>
    <t>JERINGA DESECHABLE 10 ML X 100</t>
  </si>
  <si>
    <t>JERINGA DESECHABLE 20 ML (CAJA X 50)</t>
  </si>
  <si>
    <t>JERINGA DESECHABLE 3 ML X 100</t>
  </si>
  <si>
    <t>JERINGA DESECHABLE 5 ML X 100</t>
  </si>
  <si>
    <t>JERINGA UROLOGICA (PIVOTE GRANDE) 60 ML X 25U</t>
  </si>
  <si>
    <t>KAVITAN PLUS</t>
  </si>
  <si>
    <t>KETOROLACO 30MG./ML.SOLUCION INYECTABLE, AMPOLLAS</t>
  </si>
  <si>
    <t>KIT APOYA MORDIDA RITE DENT X 3 UD</t>
  </si>
  <si>
    <t>KIT DE DISCO SOFLEX SURTIDOS (1980)</t>
  </si>
  <si>
    <t>KIT DE PARTO / UNIDAD</t>
  </si>
  <si>
    <t>KIT FRESAS DE PULIR COMPOSITE</t>
  </si>
  <si>
    <t>KIT PULIDORES DENTAL JOTA 1877 DENTUR POLISH P/PULIDO</t>
  </si>
  <si>
    <t>KIT SISTEMA PULIDO ENHANCE SURTIDO 7 UNIDADES</t>
  </si>
  <si>
    <t>KIT SUTURA ESTERIL SAR - X CAJA</t>
  </si>
  <si>
    <t>LACA BASE INFERIOR VILAC</t>
  </si>
  <si>
    <t>LACA BASE SUPERIOR VILAC</t>
  </si>
  <si>
    <t>LACTULOSA 65% A 66.7% SOLUCION ORAL 200ML / UNIDAD</t>
  </si>
  <si>
    <t>LAMINAS DE ACETATO 1 MM</t>
  </si>
  <si>
    <t>LAMINAS DE ACETATO 3 MM</t>
  </si>
  <si>
    <t>LAMPARA FOTO CURADO</t>
  </si>
  <si>
    <t>LAMPARA LED</t>
  </si>
  <si>
    <t>LANATOSIDO - C 0,4MG/2ML. SOLUCION INYECTABLE - AMPOLLAS</t>
  </si>
  <si>
    <t>LANCETAS UNIVERSALES CAJA X 100 O X50</t>
  </si>
  <si>
    <t>LENTE DE PROTECCION SPY FLEX DUAL GRIS / UNIDAD</t>
  </si>
  <si>
    <t>LENTE DE PROTECCIÓN PARA FOTOCURADO NARANJO</t>
  </si>
  <si>
    <t>LENTULOS 15-40</t>
  </si>
  <si>
    <t>LIDOCAINA 2% AMPOLLAS 5 ML.</t>
  </si>
  <si>
    <t>LIGAS GRANDES (BOLSA X 500 GRAMOS)</t>
  </si>
  <si>
    <t>LIJA BARNIZ N ° 150 PLIEGO 22.5 - 27.5 CM</t>
  </si>
  <si>
    <t>LIMAS ACODADAS 15-40</t>
  </si>
  <si>
    <t>LIMAS HEDSTROEM 10- 25 MM</t>
  </si>
  <si>
    <t>LIMAS HEDSTROEM 15 - 25 MM</t>
  </si>
  <si>
    <t>LIMAS HEDSTROEM 20- 25 MM</t>
  </si>
  <si>
    <t>LIMAS HEDSTROEM 25 - 25 MM</t>
  </si>
  <si>
    <t>LIMAS HEDSTROEM 30- 25 MM</t>
  </si>
  <si>
    <t>LIMAS HEDSTROEM 35- 25 MM</t>
  </si>
  <si>
    <t>LIMAS HEDSTROEM 40- 25 MM</t>
  </si>
  <si>
    <t>LIMAS HEDSTROEM 45-80 25 MM</t>
  </si>
  <si>
    <t>LIMAS HEDSTROEM N°15-40 25 MM</t>
  </si>
  <si>
    <t>LIMAS K FLEXOFILE 2DA SERIE 45-80 25 MM</t>
  </si>
  <si>
    <t>LIMAS K FLEXOFILE 2DA SERIE 45-80 31 MM</t>
  </si>
  <si>
    <t>LIMAS K- FILE 45-80 25MM</t>
  </si>
  <si>
    <t>LIMAS K- FILE 45-80 31 MM</t>
  </si>
  <si>
    <t>LIMAS K- FILE READYSTEEL 20 25 MM</t>
  </si>
  <si>
    <t>LIMAS K- FILE READYSTEEL 06 25 MM</t>
  </si>
  <si>
    <t>LIMAS K- FILE READYSTEEL 06 31 MM</t>
  </si>
  <si>
    <t>LIMAS K- FILE READYSTEEL 08 25 MM</t>
  </si>
  <si>
    <t>LIMAS K- FILE READYSTEEL 08 31 MM</t>
  </si>
  <si>
    <t>LIMAS K- FILE READYSTEEL 10 25 MM</t>
  </si>
  <si>
    <t>LIMAS K- FILE READYSTEEL 10 31 MM</t>
  </si>
  <si>
    <t>LIMAS K- FILE READYSTEEL 15 25 CM</t>
  </si>
  <si>
    <t>LIMAS K-FILE 08 - 25 MM</t>
  </si>
  <si>
    <t>LIMAS K-FILE 15-40 31 MM</t>
  </si>
  <si>
    <t>LIMAS K-FILE 15-40 25 MM</t>
  </si>
  <si>
    <t>LIMAS K-FILE Nº25 / 25MM</t>
  </si>
  <si>
    <t>LIMAS K-FILE Nº30 / 25MM</t>
  </si>
  <si>
    <t>LIMAS K-FILE Nº35 / 25MM</t>
  </si>
  <si>
    <t>LIMAS K-FILE Nº40 / 25MM</t>
  </si>
  <si>
    <t>LIMAS K-FLEXOFILE 15 AL 40 EN 25MM</t>
  </si>
  <si>
    <t>LIMAS K-FLEXOFILE 15-40 31 MM</t>
  </si>
  <si>
    <t>LIMPIAFRESAS</t>
  </si>
  <si>
    <t>LLAVE DE 3 PASOS / UNIDAD</t>
  </si>
  <si>
    <t>LOCETA DE VIDRIO P/ CEMENTO</t>
  </si>
  <si>
    <t>LOPERAMIDA 2MG COMPRIMIDOS</t>
  </si>
  <si>
    <t>LORATADINA 10 MG COMPRIMIDOS RANURADOS</t>
  </si>
  <si>
    <t>LORAZEPAM 2MG. COMPRIMIDOS</t>
  </si>
  <si>
    <t>LOSARTAN 50MG COMPRIMIDOS RANURADOS</t>
  </si>
  <si>
    <t>MACROMODELOS DENTALES</t>
  </si>
  <si>
    <t>MANGA DESECHABLE S/ FUELLE 40 CM X 200 M / UNIDAD</t>
  </si>
  <si>
    <t>MANGA DESECHABLE 10 CM S/FUELLE ROLLO 200M</t>
  </si>
  <si>
    <t>MANGAS DESECHABLES 5 CM X 200 / UNIDAD</t>
  </si>
  <si>
    <t>MANGAS DESECHABLES 15 X 200 / UNIDAD</t>
  </si>
  <si>
    <t>MANGAS DESECHABLES 20 X 200 (X UNIDAD)</t>
  </si>
  <si>
    <t>MANGAS DESECHABLES 25 X 200 / UNIDAD</t>
  </si>
  <si>
    <t>MANGAS DESECHABLES 7.5 X 200 / UNIDAD</t>
  </si>
  <si>
    <t>MANGO PARA ESPEJO</t>
  </si>
  <si>
    <t>MANGO PORTA PINCEL</t>
  </si>
  <si>
    <t>MANITOL 15% ENV. 500ML</t>
  </si>
  <si>
    <t>MASCARA PROTECCION FACIAL</t>
  </si>
  <si>
    <t>MASCARILLA DESECHABLE 3 PLIEGUES X 50U</t>
  </si>
  <si>
    <t>MASCARILLA LARINGEA AMBU AURA ONCE 1,5 (UNIDAD)</t>
  </si>
  <si>
    <t>MASCARILLA LARINGEA AMBU AURA ONCE 2 (UNIDAD)</t>
  </si>
  <si>
    <t>MASCARILLA LARINGEA AMBU AURA ONCE 2,5 (UNIDAD)</t>
  </si>
  <si>
    <t>MASCARILLA LARINGEA AMBU AURA ONCE 4 (UNIDAD)</t>
  </si>
  <si>
    <t>MASCARILLA LARINGEA AMBU AURA ONCE 5 (UNIDAD)</t>
  </si>
  <si>
    <t>MASCARILLA N95 (CAJA X 20)</t>
  </si>
  <si>
    <t>MASCARILLA N95 (CAJA X 50)</t>
  </si>
  <si>
    <t>MASCARILLA OXIGENO ADULTO CON RESERVORIO (X UNIDAD)</t>
  </si>
  <si>
    <t>MASCARILLA OXIGENO PEDIATRICA CON RESERVORIO (X UNIDAD)</t>
  </si>
  <si>
    <t>MASCARILLA PARA NEBULIZACION ADULTO (CAJAX50)</t>
  </si>
  <si>
    <t>MASCARILLA PARA NEBULIZACION PEDIATRICA</t>
  </si>
  <si>
    <t>MASCARILLA PARA OXIGENO ADULTO VENTURI (X UNIDAD)</t>
  </si>
  <si>
    <t>MASCARILLA PARA OXIGENO PEDIATRICA VENTURI (X UNIDAD)</t>
  </si>
  <si>
    <t>MATRICES CONTORNEADAS ZAVHER KIT 18 PCS</t>
  </si>
  <si>
    <t>MEBENDAZOL 100 MG. COMPRIMIDOS</t>
  </si>
  <si>
    <t>MEBENDAZOL 100 MG/5ML. SUSPENSION ORAL FRASCO 35 ML.</t>
  </si>
  <si>
    <t>MECHA PARA MECHERO</t>
  </si>
  <si>
    <t>MEPIVACAINA 3% / ANESTESIA SIN VASOCONSTRICTOR (CAJA X 50)</t>
  </si>
  <si>
    <t>MERCURIO</t>
  </si>
  <si>
    <t>METAMIZOL SODICO , SOLUCION INYECTABLE 1 G/2 ML , AMPOLLAS P/ADM. IM-IV</t>
  </si>
  <si>
    <t>METAMIZOL SODICO COMPRIMIDOS 300 MG</t>
  </si>
  <si>
    <t>METAMIZOL SODICO SUPOSITORIOS 250 MG.</t>
  </si>
  <si>
    <t>METFORMINA 1000MG XR (LIBERACIÓN PROLONGADA)</t>
  </si>
  <si>
    <t>METFORMINA CLORHIDRATO 850 MG.COMPRIMIDOS RECUBIERTOS</t>
  </si>
  <si>
    <t>METILDOPA COMPRIMIDOS 250 MG</t>
  </si>
  <si>
    <t>METILFENIDATO 10MG CM</t>
  </si>
  <si>
    <t>METILFENIDATO 10MG CM LIBERACION PROLONGADA</t>
  </si>
  <si>
    <t>METILFENIDATO 20MG CM LIBERACION PROLONGADA</t>
  </si>
  <si>
    <t>METOCLOPRAMIDA 10MG./2ML. AMPOLLAS</t>
  </si>
  <si>
    <t>METOCLOPRAMIDA 10MG. COMPRIMIDOS</t>
  </si>
  <si>
    <t>METRONIDAZOL 500MG.COMPRIMIDOS</t>
  </si>
  <si>
    <t>METRONIDAZOL 500MG.OVULOS VAGINALES</t>
  </si>
  <si>
    <t>MICRO MOTOR BORDEN NSK.</t>
  </si>
  <si>
    <t>MIDAZOLAM 15MG/3ML AMPOLLAS</t>
  </si>
  <si>
    <t>MIRTAZAPINA 30MG</t>
  </si>
  <si>
    <t>MONOMERO DE AUTOCURADO 210CC</t>
  </si>
  <si>
    <t>MONOMERO DE TERMOCURADO 210 CC</t>
  </si>
  <si>
    <t>MORFINA 10 MG./ML. SOLUCION INYECTABLE, AMPOLLAS</t>
  </si>
  <si>
    <t>MULTIVITAMINICO CON VITAMINAS A-C-D SOLUCION GOTAS ORALES FRASCO 30 ML.</t>
  </si>
  <si>
    <t>NARICERA ADULTO 4 MM / UNIDAD</t>
  </si>
  <si>
    <t>NARICERA PEDIATRICA 3 MM ( X UNIDAD)</t>
  </si>
  <si>
    <t>NIFEDIPINO 20MG. COMPRIMIDOS DE LIBERACION PROLONGADA</t>
  </si>
  <si>
    <t>NIPLE / UNIDAD</t>
  </si>
  <si>
    <t>NISTATINA SUSPENSION. GOTAS ORALES 100.000 UI/ML, ENVASE 20 A 30ML.</t>
  </si>
  <si>
    <t>NITRENDIPINO 20 MG. COMPRIMIDOS</t>
  </si>
  <si>
    <t>NITROFURANTOINA MACROCRISTALES, Capsulas 100 MG.</t>
  </si>
  <si>
    <t>NITROGLICERINA 50 MG/10 ML AMPOLLAS</t>
  </si>
  <si>
    <t>NITROGLICERINA COMPRIMIDOS SUBLINGUAL 0.6 MG</t>
  </si>
  <si>
    <t>NITROGLICERINA ORAL SUBLINGUAL 400MCG/DOSIS , ENVASE 200 DOSIS</t>
  </si>
  <si>
    <t>OCLUSOR METALICO</t>
  </si>
  <si>
    <t>OMEPRAZOL 40 MG AMPOLLA</t>
  </si>
  <si>
    <t>OMEPRAZOL CAPSULAS C/ MICROGRANULOS DE LIBERACION ENTERICA 20 MG</t>
  </si>
  <si>
    <t>ONDANSETRON 8MG AMP (SOL INY 4ML) X UNIDAD</t>
  </si>
  <si>
    <t>ORL BACITRACINA UNGÜENTO NASAL</t>
  </si>
  <si>
    <t>ORL BETAHISTINA 16MG COMPRIMIDOS</t>
  </si>
  <si>
    <t>ORL CIPROFLOXACINO 0.3% SOLUCION OTICA</t>
  </si>
  <si>
    <t>ORL DESLORATADINA 5MG COMPRIMIDO</t>
  </si>
  <si>
    <t>ORL DIFENIDOL 25MG COMPRIMIDO</t>
  </si>
  <si>
    <t>ORL LIDOCAINA 10% SPRAY</t>
  </si>
  <si>
    <t>ORL MOMETASONA SPRAY NASAL</t>
  </si>
  <si>
    <t>ORL PERLAS DE NITRATO DE PLATA (TUBO X 100)</t>
  </si>
  <si>
    <t>ORL/TD LEVOCETIRIZINA 5MG COMPRIMIDO</t>
  </si>
  <si>
    <t>OXIDO DE ZINC</t>
  </si>
  <si>
    <t>P.A. APOSITO ALGINATO CON PLATA EN LAMINA 11X11CM (X CAJA)</t>
  </si>
  <si>
    <t>P.A. APOSITO ANTIMICROBIANO CON DACC 7 CM X 9 CM X UNIDAD</t>
  </si>
  <si>
    <t>P.A. APOSITO CARBON ACTIVADO CON PLATA 10.5 X 10.5 CM</t>
  </si>
  <si>
    <t>P.A. APOSITO DE COLAGENO CON ALGINATO 10 X 11 CM (X UNIDAD)</t>
  </si>
  <si>
    <t>P.A. APOSITO TRADICIONAL ESPECIAL 10 X 10</t>
  </si>
  <si>
    <t>P.A. APOSITO TRADICIONAL ESPECIAL 10 X 20</t>
  </si>
  <si>
    <t>P.A. APOSITO TRADICIONAL ESPECIAL 20 X 25</t>
  </si>
  <si>
    <t>P.A. LIMPIADOR DE HERIDAS CON POLOXAMERO Y POLIHEXANIDA 0.1%</t>
  </si>
  <si>
    <t>P.A. LUBRICANTE CUTANEO ACIDO GRASOS EN ACEITE 30 ML</t>
  </si>
  <si>
    <t>P.A. PASTA CON PLATA</t>
  </si>
  <si>
    <t>P.A.CURETAS 4 MM (X UNIDAD)</t>
  </si>
  <si>
    <t>P.A.DESCONTAMINANTE EN SOLUCION 250 ML PARA LAVADO DE HERIDAS / CONTIENE ACIDO HIPOCLOROSO</t>
  </si>
  <si>
    <t>P.A.POLIHEXANIDA CON BETAINA EN GEL</t>
  </si>
  <si>
    <t>P.A.PROTECTOR CUTANEO EN SPRAY 28 ML (X UNIDAD)</t>
  </si>
  <si>
    <t>P.A.TULL DE SILICONA 7.5 X 10 CM (X UNIDAD)</t>
  </si>
  <si>
    <t>P.U APÓSITO GASA NO TEJIDA ALGODÓN ESTÉRIL 20X25 CM UNIDAD</t>
  </si>
  <si>
    <t>P.U. APOSITO HIPEROSMOTICO LAMINA 10 X 10 C/RINGER PHMB SILICONA (UNIDAD)</t>
  </si>
  <si>
    <t>P.U. APOSITO INHIBIDOR DE METALOPROTEASA 10 CM X 10 CM</t>
  </si>
  <si>
    <t>PA.GEL DE HIALUNORATO DE ZINC</t>
  </si>
  <si>
    <t>PAPEL 50 MM DESFIBRILADOR NIHON KOHDEN CARDIOLIFE TEC-5631 (CESAM ALERCE / ANGELMO Y SAPU PH) / UNIDAD</t>
  </si>
  <si>
    <t>PAPEL ALUSA ROLLO</t>
  </si>
  <si>
    <t>PAPEL ARTCULADO HERRADURA BICOLOR (XCAJA)</t>
  </si>
  <si>
    <t>PAPEL ARTICULAR RECTO CAJA</t>
  </si>
  <si>
    <t>PAPEL DE ESPIROMETRO X ROLLO 110mm.x 25 mt.</t>
  </si>
  <si>
    <t>PAPEL ELECTROCARDIOGRAMA CAREFUSION PAPEL ECG MAC 400/600 2030887-001 UNIDAD</t>
  </si>
  <si>
    <t>PAPEL ELECTROCARDIOGRAMA FQW 110-2-140 (bolsa x 2unidades)</t>
  </si>
  <si>
    <t>PAPEL ELECTROCARDIOGRAMA NIHON KODDEN ROLLO (X UNIDAD)</t>
  </si>
  <si>
    <t>PAPEL ELECTROCARDIOGRAMA SCHILLER (X UNIDAD)</t>
  </si>
  <si>
    <t>PAPEL ELECTROCARDIOGRAMA ZOLL PAPEL ECG ZOLL 8000-0300 UNIDAD</t>
  </si>
  <si>
    <t>PAPEL GRADO MEDICO (AUTOCLAVE) 60X60 CMS ENVASE 250 PLIEGOS / UNIDAD</t>
  </si>
  <si>
    <t>PAPEL KRAFT NATURAL 70 GRS. X 125 PLIEGOS 115 CM. X 144 CM / UNIDAD</t>
  </si>
  <si>
    <t>PAPEL REGISTRO DESFIBRILADOR 90 x 90 mm (X UNIDAD)</t>
  </si>
  <si>
    <t>PAPEL VIDEOPRINTER UPP-110S 20 MT</t>
  </si>
  <si>
    <t>PARACETAMOL 10MG/ML (SOLUCIÓN PARA PERFUSIÓN)</t>
  </si>
  <si>
    <t>PARACETAMOL 500MG.COMPRIMIDOS</t>
  </si>
  <si>
    <t>PARACETAMOL 80MG COMPRIMIDOS MASTICABLES.</t>
  </si>
  <si>
    <t>PARACETAMOL GOTAS AL 10% FRASCO SOLUCION P/GOTAS PEDIATRICAS ORALES,ENVASE 15ML.</t>
  </si>
  <si>
    <t>PARACETAMOL SUPOSITORIOS 125MG.</t>
  </si>
  <si>
    <t>PARAMONOCLOROFENOL</t>
  </si>
  <si>
    <t>PARCHE CURITA REDONDO 25MM COLOR PIEL (caja x 100u)</t>
  </si>
  <si>
    <t>PARCHE DESFIBRILACIÓN ADULTO/PEDIATRICO NIHON KODDEN CARDIOLIFE TEC5631 Y TEC 5600 / UNIDAD</t>
  </si>
  <si>
    <t>PARGEVERINA 5MG./ML. SOLUCION INYECTABLE</t>
  </si>
  <si>
    <t>PARGEVERINA GOTAS 5MG./ML. FRASCO GOTARIO 15ML.</t>
  </si>
  <si>
    <t>PAROXETINA 20MG COMPRIMIDO</t>
  </si>
  <si>
    <t>PASTA DENTAL ADULTO 1450 PPM DE FLUOR</t>
  </si>
  <si>
    <t>PASTA DENTAL NIÑO 1450 PPM CON FLUOR</t>
  </si>
  <si>
    <t>PASTA DENTAL PROGRAMA SEMBRANDO SONRISAS</t>
  </si>
  <si>
    <t>PASTA LASSAR POTE</t>
  </si>
  <si>
    <t>PASTA PROFILAXIS SIN FLUOR</t>
  </si>
  <si>
    <t>PASTA PULIR COMPOSITE</t>
  </si>
  <si>
    <t>PASTILLERO SEMANAL</t>
  </si>
  <si>
    <t>PAÑO CAMPO PLASTICO PARA CAPSULA</t>
  </si>
  <si>
    <t>PECHERA CON MANGA Y DEDAL / UNIDAD</t>
  </si>
  <si>
    <t>PECHERA PLASTICA (X UNIDAD)</t>
  </si>
  <si>
    <t>PECHERA en ROLLO PREPICADO (X200U X ROLLO)</t>
  </si>
  <si>
    <t>PELICULA RADIOGRAFICA ADULTO PERIAPICAL</t>
  </si>
  <si>
    <t>PELICULA RADIOGRAFICA BITEWING ADULTO</t>
  </si>
  <si>
    <t>PELICULA RADIOGRAFICA INFANTIL</t>
  </si>
  <si>
    <t>PENICILINA G-BENZATINA FA 1.200.000 U.I LIOF P/SOL INYECT IM (X UNIDAD)</t>
  </si>
  <si>
    <t>PENICILINA-G SODICA FA 1.000.000 U.I. LIOF P/SOL INYECT IM-IV (X UNIDAD)</t>
  </si>
  <si>
    <t>PIEDRA POMEZ</t>
  </si>
  <si>
    <t>PIEZA DE MANO PARA MICROMOTOR</t>
  </si>
  <si>
    <t>PIEZA DE MANO PARA VARIOS NSK</t>
  </si>
  <si>
    <t>PILAS DE LITIO PARA DATALOGGER MODELO ELITECH / GSP-6</t>
  </si>
  <si>
    <t>PINZA DE BAKEY</t>
  </si>
  <si>
    <t>PINZA DE EXAMEN BIANGULADA</t>
  </si>
  <si>
    <t>PIPETAS 15UL BOLSA POR 25</t>
  </si>
  <si>
    <t>PIRIDOXINA CLORHIDRATO AMPOLLAS 100 MG/ ML. SOLUCION INYECTABLE P/ADM IM</t>
  </si>
  <si>
    <t>PIROXICAM COMPRIMIDOS RECUBIERTO O CAPSULAS 20 MG</t>
  </si>
  <si>
    <t>PLUGGER DR. MACHTOU 1/2</t>
  </si>
  <si>
    <t>PLUGGER DR. MACHTOU 3/4</t>
  </si>
  <si>
    <t>POLIVITAMINICO JARABE</t>
  </si>
  <si>
    <t>PORTA DISCO PARA PIEZA DE MANO</t>
  </si>
  <si>
    <t>PORTA DISCO SOFLEX</t>
  </si>
  <si>
    <t>PORTA MATRIZ TIPO TOFLEMIRE</t>
  </si>
  <si>
    <t>POVIDONA YODADA 10% 1000 ML</t>
  </si>
  <si>
    <t>POVIDONA YODADA 10% 100ML / 125ML X UNIDAD</t>
  </si>
  <si>
    <t>PREDNISONA 20MG/5ML SUSPENSION ORAL FRASCO 60ML.</t>
  </si>
  <si>
    <t>PREDNISONA C/RECUBIERTO 20 MG</t>
  </si>
  <si>
    <t>PREDNISONA C/RECUBIERTO 5 MG</t>
  </si>
  <si>
    <t>PREGABALINA 150 MG CM/CP</t>
  </si>
  <si>
    <t>PRESERVATIVOS SIN GEL PARA ECOGRAFIA (x CAJA) (100,144 ó150u)</t>
  </si>
  <si>
    <t>PROPIFENAZONA/ADIFENINA SUPOSITORIOS 440/50 MG (ANTIESPASMODICO ADULTO)</t>
  </si>
  <si>
    <t>PROPRANOLOL 40MG. COMPRIMIDOS RANURADOS</t>
  </si>
  <si>
    <t>PROTECTOR FACIAL TIPO LENTE SIMPLE / UNIDAD</t>
  </si>
  <si>
    <t>PROTECTOR PLACA DE FOSFATO N°0</t>
  </si>
  <si>
    <t>PROTECTOR PLACA DE FOSFATO N°2</t>
  </si>
  <si>
    <t>PU PRONTOSAN GEL 30 ML / UNIDAD</t>
  </si>
  <si>
    <t>PU / FOFAR APOSITO CON PHMB, 15CM X 17 CM (PACK 2 UNIDADES)</t>
  </si>
  <si>
    <t>PU APOSITO 10X20</t>
  </si>
  <si>
    <t>PU APOSITO GASA NO TEJIDA ALGODON ESTERIL 10X10 CM PACK X 2 UNIDADES</t>
  </si>
  <si>
    <t>PU APOSITO GASA NO TEJIDA ALGODON ESTERIL 10X20 CM UNIDAD UNIDAD</t>
  </si>
  <si>
    <t>PU BANDEJA ALUMINIO SIN TAPA / LARGO (31CM A 40CM) X ANCHO (22CM A 30CM) X ALTO (5CM A 10 CM</t>
  </si>
  <si>
    <t>PU BOTA DE UNNA</t>
  </si>
  <si>
    <t>PU CALCETIN 20 MMHG ULTRASHEER 20/30 TALLA L / UNIDAD</t>
  </si>
  <si>
    <t>PU CALCETIN 20 MMHG ULTRASHEER 20/30 TALLA M / UNIDAD</t>
  </si>
  <si>
    <t>PU CALCETIN 20 MMHG ULTRASHEER 20/30 TALLA S</t>
  </si>
  <si>
    <t>PU HIDROGEL TUBO / UNIDAD</t>
  </si>
  <si>
    <t>PU MEDIA 40 ULCER KIT (MEDIA COMPRESIÓN) TALLA 3</t>
  </si>
  <si>
    <t>PU MEDIA COMPRESION 40 MMHG TALLA IV X CAJA</t>
  </si>
  <si>
    <t>PU MEDIA COMPRESION 40 MMHG TALLA V X CAJA</t>
  </si>
  <si>
    <t>PU MEDIA COMPRESION 40 MMHG TALLA VI X CAJA</t>
  </si>
  <si>
    <t>PU SISTEMA COMPRESIVO MULTICAPA 2 CAPAS / UNIDAD</t>
  </si>
  <si>
    <t>PUNTA INSERTO PARA ULTRASONIDO TIPO WOODPECKER UNIDAD</t>
  </si>
  <si>
    <t>PUNTAS SCALER NSK G1</t>
  </si>
  <si>
    <t>PUNTAS SCALER NSK G4</t>
  </si>
  <si>
    <t>PUNTAS SCALER NSK G5</t>
  </si>
  <si>
    <t>PUNTAS SCALER NSK G6</t>
  </si>
  <si>
    <t>PUNTAS SCALER NSK G8</t>
  </si>
  <si>
    <t>Perforadora de Goma Dique</t>
  </si>
  <si>
    <t>Porta Clamps Tipo Stoke</t>
  </si>
  <si>
    <t>QUETIAPINA 100MG</t>
  </si>
  <si>
    <t>QUETIAPINA 25MG. COMPRIMIDOS RANURADOS</t>
  </si>
  <si>
    <t>RANITIDINA 50MG/2ML. SOLUCION INYECTABLE - AMPOLLAS</t>
  </si>
  <si>
    <t>RANITIDINA 300MG COMPRIMIDOS REC.</t>
  </si>
  <si>
    <t>RECETA CHEQUE CENTRO DE ESPECIALIDADES</t>
  </si>
  <si>
    <t>RECETA CHEQUE CESFAM ALERCE</t>
  </si>
  <si>
    <t>RECETA CHEQUE CESFAM ANGELMO</t>
  </si>
  <si>
    <t>RECETA CHEQUE CESFAM ANTONIO VARAS</t>
  </si>
  <si>
    <t>RECETA CHEQUE CESFAM CARMELA CARVAJAL</t>
  </si>
  <si>
    <t>RECETA CHEQUE CESFAM PADRE HURTADO</t>
  </si>
  <si>
    <t>RECETA CHEQUE EQUIPO DE SALUD RURAL</t>
  </si>
  <si>
    <t>REGLA ENDODONCIA</t>
  </si>
  <si>
    <t>REGULADOR CONEXIÓN TIPO PIN CON FLUJOMETRO Y HUMIDIFICADOR</t>
  </si>
  <si>
    <t>RELINE REBASADO DURO</t>
  </si>
  <si>
    <t>RELYX U200CEMENTO DE RESINA CLICKER</t>
  </si>
  <si>
    <t>REPUESTOS PINCELES BOLSA</t>
  </si>
  <si>
    <t>REVELADOR DE PLACA BACTERIANA SANORAL PASTILLAS</t>
  </si>
  <si>
    <t>REVELADOR DE PLACA BACTERIANA DUAL TONE 10 ML</t>
  </si>
  <si>
    <t>REVELADOR Y FIJADOR RX MANUAL (KIT)</t>
  </si>
  <si>
    <t>RISPERIDONA 1MG./ML. SOLUCION GOTAS ORALES FRASCO GOTARIO</t>
  </si>
  <si>
    <t>RISPERIDONA 1MG. COMPRIMIDOS RECUBIERTOS</t>
  </si>
  <si>
    <t>RISPERIDONA 3MG</t>
  </si>
  <si>
    <t>RODETES PREFORMADOS</t>
  </si>
  <si>
    <t>ROLLO BOLSA BIODEGRADABLE (25CM X 30CM) X 600U</t>
  </si>
  <si>
    <t>ROLLO BOLSA BIODEGRADABLE (35CM X 40CM) X 600U</t>
  </si>
  <si>
    <t>ROLLO PAPEL FAX UAPO</t>
  </si>
  <si>
    <t>ROLLO TERMICO TOTEM ( CAJA X 20 U)</t>
  </si>
  <si>
    <t>ROLLOS ETIQUETAS X UNIDAD</t>
  </si>
  <si>
    <t>S.P. GLUCOSA 10% MATRAZ 250 ML SOLUCION INTRAVENOSA ENVASE VIAFLEX</t>
  </si>
  <si>
    <t>S.P. GLUCOSALINO ISOTONICO MATRAZ 500 ML. SOLUCION INYECTABLE P/ADMINISTRACION INFUSION IV.</t>
  </si>
  <si>
    <t>S.P. SODIO CLORURO 0,9% MATRAZ 100 ML. SOLUCION INYECTABLE SUERO FISIOLOGICO</t>
  </si>
  <si>
    <t>S.P. SODIO CLORURO 0,9% MATRAZ 250 ML. SOLUCION INYECTABLE ENVASE VIAFLEX suero fisiologico</t>
  </si>
  <si>
    <t>S.P. SODIO CLORURO 0.9% MATRAZ 500 ML. SOLUCION INYECTABLE TIPO VIAFLEX (suero fisiologico)</t>
  </si>
  <si>
    <t>S.P. SOLUCION RINGER LACTATO MATRAZ 500 ML. SOLUCION INTRAVENOSA ENV.SEMIRIGIDO</t>
  </si>
  <si>
    <t>SABANA CUBRE CAMILLA / X CAJA</t>
  </si>
  <si>
    <t>SABANILLA CLINICA DESECHABLE X UNIDAD</t>
  </si>
  <si>
    <t>SACHET BARNIZ DE FLUOR PROGRAMA</t>
  </si>
  <si>
    <t>SAL REHIDRATACION ORAL 60 MEQ SODIO - SOBRE P/PREPARAR 250 ML</t>
  </si>
  <si>
    <t>SALBUTAMOL 100 MCG/DO X 200 DOSIS INHALACION</t>
  </si>
  <si>
    <t>SAR COLLAR CERVICAL ADULTO</t>
  </si>
  <si>
    <t>SAR COLLAR CERVICAL PEDIATRICO</t>
  </si>
  <si>
    <t>SAR LABETALOL 100MG/20ML AMP</t>
  </si>
  <si>
    <t>SAR PARCHE ADULTO PARA MONITOR DESFIBRILADOR MODELOS BENEHEART MINDRAY / UNIDAD</t>
  </si>
  <si>
    <t>SAR TUBO SILICONA SUCCIÓN ROLLO 25 METROS</t>
  </si>
  <si>
    <t>SEDA DENTAL</t>
  </si>
  <si>
    <t>SEDA DENTAL EMBARAZADA PROGRAMA</t>
  </si>
  <si>
    <t>SELLANTE FOTOCURADO</t>
  </si>
  <si>
    <t>SELLO DESECHABLE ROJO FOLIADO / UNIDAD</t>
  </si>
  <si>
    <t>SENSOR RADIOLOGICO DENTAL CARESTREM</t>
  </si>
  <si>
    <t>SEPARADOR DE MEJILLAS PEDIATRICO LATERALES PLASTICOS</t>
  </si>
  <si>
    <t>SEPARADORES DE COMISURA</t>
  </si>
  <si>
    <t>SEPARADORES DE LABIO CIRCULAR</t>
  </si>
  <si>
    <t>SERTRALINA 100MG. COMPRIMIDOS RANURADOS</t>
  </si>
  <si>
    <t>SERTRALINA 50 MG COMPRIMIDOS RECUBIERTOS</t>
  </si>
  <si>
    <t>SET DE GOMAS PARA PULIDO COMPOSITE X 6U</t>
  </si>
  <si>
    <t>SET DE MICROMOTOR PM C/A TURBINA BORDEN</t>
  </si>
  <si>
    <t>SET DE MUFLAS Y ESTRIBO DE BRONCE</t>
  </si>
  <si>
    <t>SHAMPOO PEDICULICIDA</t>
  </si>
  <si>
    <t>SILICONA ADISION MATERIAL LIVIANA VERDE 7302</t>
  </si>
  <si>
    <t>SILICONA ADISION PESADA</t>
  </si>
  <si>
    <t>SILICONA CONDENSACION FLUIDA</t>
  </si>
  <si>
    <t>SILICONA CONDENSACION PESADA</t>
  </si>
  <si>
    <t>SILICONA IMPRESION MEDIANA 140ML</t>
  </si>
  <si>
    <t>SISTEMA DE PULIDO DENTAL PIEDRA ARKANSAS LLAMA BAJA VELOCIDAD 10 UNIDADES</t>
  </si>
  <si>
    <t>SOBRES MTA PROTOOT DENTSPLY (GRIS)</t>
  </si>
  <si>
    <t>SODIO CLORURO 0,9% AMPOLLAS 10 ML. (SUERO FISIOLOGICO)</t>
  </si>
  <si>
    <t>SOLUCION PARA LAVADO (PRONTOSAN) FRASCO 350 ML / UNIDAD</t>
  </si>
  <si>
    <t>SONDA ASPIRACION N 08 CON CONTROL DE SUCCION / UNIDAD</t>
  </si>
  <si>
    <t>SONDA ASPIRACION N 10 CON CONTROL DE SUCCION / UNIDAD</t>
  </si>
  <si>
    <t>SONDA ASPIRACION N 12 CON CONTROL DE SUCCION / UNIDAD</t>
  </si>
  <si>
    <t>SONDA ASPIRACION N 14 CON CONTROL DE SUCCION / UNIDAD</t>
  </si>
  <si>
    <t>SONDA ASPIRACION N 16 CON CONTROL DE SUCCION / UNIDAD</t>
  </si>
  <si>
    <t>SONDA ASPIRACION N 18 CON CONTROL DE SUCCION / UNIDAD</t>
  </si>
  <si>
    <t>SONDA DE CARIES CURVA ACERO INOXIDABLE</t>
  </si>
  <si>
    <t>SONDA DE CARIES RECTA ACERO INOXIDABLE</t>
  </si>
  <si>
    <t>SONDA NABERS N2</t>
  </si>
  <si>
    <t>SONDA NASOGASTRICA LEVIN N 12 / UNIDAD</t>
  </si>
  <si>
    <t>SONDA NASOGASTRICA LEVIN N 14 / UNIDAD</t>
  </si>
  <si>
    <t>SONDA NASOGASTRICA LEVIN N 16 / UNIDAD</t>
  </si>
  <si>
    <t>SONDA NASOGASTRICA LEVIN N 18 / UNIDAD</t>
  </si>
  <si>
    <t>SONDA NASOGASTRICA N°10 / UNIDAD</t>
  </si>
  <si>
    <t>SONDA URETRAL (DE NELATON) N 08 PUNTA RECTA / UNIDAD</t>
  </si>
  <si>
    <t>SONDA URETRAL (DE NELATON) N 10 PUNTA RECTA / UNIDAD</t>
  </si>
  <si>
    <t>SONDA URETRAL (DE NELATON) N 12 PUNTA RECTA</t>
  </si>
  <si>
    <t>SONDA URETRAL (DE NELATON) N 14 PUNTA RECTA / UNIDAD</t>
  </si>
  <si>
    <t>SONDA URETRAL (DE NELATON) N 16 PUNTA RECTA / UNIDAD</t>
  </si>
  <si>
    <t>SONDA URETRAL (DE NELATON) N 18 PUNTA RECTA / UNIDAD</t>
  </si>
  <si>
    <t>SONDA VESICAL (FOLEY) N 10 DOS VIAS</t>
  </si>
  <si>
    <t>SONDA VESICAL (FOLEY) N 14 DOS VIAS / UNIDAD</t>
  </si>
  <si>
    <t>SONDA VESICAL (FOLEY) N 16 DOS VIAS / UNIDAD</t>
  </si>
  <si>
    <t>SONDA VESICAL (FOLEY) N 18 DOS VIAS / UNIDAD</t>
  </si>
  <si>
    <t>SONDA VESICAL (FOLEY) N 20 DOS VIAS / UNIDAD</t>
  </si>
  <si>
    <t>SONDA WILLIAMS</t>
  </si>
  <si>
    <t>SUTURA MONOFILAMENTO 6/0 CON AGUJA 3/8 CíRCULO PUNTA XCAJA</t>
  </si>
  <si>
    <t>SUTURA MONOFILAMENTO DAFILON 2/0 XCAJA</t>
  </si>
  <si>
    <t>SUTURA MONOFILAMENTO DAFILON 3/0 (X CAJA)</t>
  </si>
  <si>
    <t>SUTURA MONOFILAMENTO DAFILON 4/0 XCAJA</t>
  </si>
  <si>
    <t>SUTURA MONOFILAMENTO DAFILON 5/0 XCAJA</t>
  </si>
  <si>
    <t>SUTURA SEDA NEGRA 3/0 CON AGUJA SEMICIRCULAR ATRAUMATICA CAJA</t>
  </si>
  <si>
    <t>TALLADOR P/ AMALGAMA FRAHM</t>
  </si>
  <si>
    <t>TALLADOR WARD 2</t>
  </si>
  <si>
    <t>TALONARIOS PROGRAMA</t>
  </si>
  <si>
    <t>TAPA OBTURACION HEPARINA AMARILLA PARA INYECCION (X UNIDAD)</t>
  </si>
  <si>
    <t>TD ACIDO SALICILICO 16.7% ACIDO LACTICO 16.7% SOLUCION TOPICA</t>
  </si>
  <si>
    <t>TD ADAPALENO 0.1% GEL TOPICO 30G</t>
  </si>
  <si>
    <t>TD ADAPALENO 0.3% GEL TOPICO 30G</t>
  </si>
  <si>
    <t>TD CLOBETASOL 0.05% CREMA DERMICA 25G</t>
  </si>
  <si>
    <t>TD CREMA HUMECTANTE 200ML</t>
  </si>
  <si>
    <t>TD CREMA-LOCIÓN HUMECTANTE 10% UREA</t>
  </si>
  <si>
    <t>TD DOXICICLINA 100MG COMPRIMIDO</t>
  </si>
  <si>
    <t>TD HIDROXIZINA 20MG COMPRIMIDO</t>
  </si>
  <si>
    <t>TD KETOCONAZOL 2% CHAMPU</t>
  </si>
  <si>
    <t>TD LEVOCETIRIZINA 2.5MG/5ML JARABE</t>
  </si>
  <si>
    <t>TD LEVOCETIRIZINA 5 MG/ ML GOTAS</t>
  </si>
  <si>
    <t>TD METRONIDAZOL 0.75% GEL/CREMA</t>
  </si>
  <si>
    <t>TD PERMETRINA 5% LOCION CORPORAL</t>
  </si>
  <si>
    <t>TD PROTECTOR SOLAR CREMA</t>
  </si>
  <si>
    <t>TD PROTECTOR SOLAR GEL</t>
  </si>
  <si>
    <t>TD TACROLIMUS 0.1% UNGÜENTO</t>
  </si>
  <si>
    <t>TD TERBINAFINA 1% CREMA TOPICA</t>
  </si>
  <si>
    <t>TD VASELINA SOLIDA POTE</t>
  </si>
  <si>
    <t>TD clotrimazol + betametasona (pomo 15gr)</t>
  </si>
  <si>
    <t>TEJIDO TUBULAR 10 CM</t>
  </si>
  <si>
    <t>TEJIDO TUBULAR 15 CM / UNIDAD</t>
  </si>
  <si>
    <t>TEJIDO TUBULAR 5 CM</t>
  </si>
  <si>
    <t>TELA DE GASA / UNIDAD</t>
  </si>
  <si>
    <t>TERBINAFINA 250MG</t>
  </si>
  <si>
    <t>TERMOMETRO DIGITAL (X UNIDAD)</t>
  </si>
  <si>
    <t>TERMOMETRO VALIDADO</t>
  </si>
  <si>
    <t>TERMOMETRO-HIGROMETRO DIGITAL</t>
  </si>
  <si>
    <t>TEST BOWIE DICK / UNIDAD</t>
  </si>
  <si>
    <t>TIAMINA CLORHIDRATO 30MG./ML. SOLUCION INYECTABLE - AMPOLLAS</t>
  </si>
  <si>
    <t>TIJERA PARA METAL USO DENTAL</t>
  </si>
  <si>
    <t>TIPS APLICADOR FINO</t>
  </si>
  <si>
    <t>TIPS APLICADOR MEDIANO</t>
  </si>
  <si>
    <t>TIRANERVIO 35</t>
  </si>
  <si>
    <t>TIRANERVIO 40</t>
  </si>
  <si>
    <t>TIRANERVIO N25</t>
  </si>
  <si>
    <t>TIRANERVIO N30</t>
  </si>
  <si>
    <t>TIRANERVIOS N20</t>
  </si>
  <si>
    <t>TOALLA SECANTE INTERFOLIADA (X CAJA)</t>
  </si>
  <si>
    <t>TOALLITA ALCOHOL PAD AL 70% CAJA X 100 SACHETS</t>
  </si>
  <si>
    <t>TOALLITA IMPREGNADA DE ALCOHOL COMPLEMED AL 70% PACK 1000 SACHETS / CAJA</t>
  </si>
  <si>
    <t>TORNILLO DE ORTODONCIA TORNILLO HYRAX UNIDAD</t>
  </si>
  <si>
    <t>TRAJE SEGURIDAD XL (CAJA X 50 U)</t>
  </si>
  <si>
    <t>TRAMADOL GOTAS 100MG/ML. FRASCO GOTARIO 10ML</t>
  </si>
  <si>
    <t>TRANSBOND XT PRIMER BOTELLA 6ML</t>
  </si>
  <si>
    <t>TUBO ASPIRACION 1.8 MT DE PVC ESTERIL ENVASE MIX (UNIDAD)</t>
  </si>
  <si>
    <t>TUBO ENDOTRAQUEAL CON BALON N 4 / UNIDAD</t>
  </si>
  <si>
    <t>TUBO ENDOTRAQUEAL CON BALON N 5 / UNIDAD</t>
  </si>
  <si>
    <t>TUBO ENDOTRAQUEAL CON BALON N 6 / UNIDAD</t>
  </si>
  <si>
    <t>TUBO ENDOTRAQUEAL CON BALON N 7 / UNIDAD</t>
  </si>
  <si>
    <t>TUBO ENDOTRAQUEAL CON BALON N 7,5 / UNIDAD</t>
  </si>
  <si>
    <t>TUBO ENDOTRAQUEAL CON BALON N 8 (X UNIDAD)</t>
  </si>
  <si>
    <t>TUBO ENDOTRAQUEAL CON BALON N 8,5 / UNIDAD</t>
  </si>
  <si>
    <t>TUBO ENDOTRAQUEAL CON BALON N 9 / UNIDAD</t>
  </si>
  <si>
    <t>TUBO ENDOTRAQUEAL CON BALON N°4,5 / UNIDAD</t>
  </si>
  <si>
    <t>TUBO ENDOTRAQUEAL N°6.5 CON BALON / UNIDAD</t>
  </si>
  <si>
    <t>TUBO ENDOTRAQUEAL SIN BALON N 2,5 / UNIDAD</t>
  </si>
  <si>
    <t>TUBO ENDOTRAQUEAL SIN BALON N 3 / UNIDAD</t>
  </si>
  <si>
    <t>TUBO ENDOTRAQUEAL SIN BALON N 3,5 / UNIDAD</t>
  </si>
  <si>
    <t>TURBINA TERMINACION BORDER TIPO LISONG</t>
  </si>
  <si>
    <t>TURBINA TERMINACION MIDWEST NSK</t>
  </si>
  <si>
    <t>TURBINA TERMINACION MIDWEST TIPO COXO TORQUE XTITAN</t>
  </si>
  <si>
    <t>TURBINAS BORDEN NSK</t>
  </si>
  <si>
    <t>Trazodona 100mg comprimidos recubiertos</t>
  </si>
  <si>
    <t>Trazodona 25 mg comprimidos</t>
  </si>
  <si>
    <t>UAPO BIMATOPROST 0,01% BRIMONIDINA 0,15% TIMOLOL 0,5% SOLUCION OFTALMICA</t>
  </si>
  <si>
    <t>UAPO BIMATOPROST 0,03% SOLUCION OFTALMICA</t>
  </si>
  <si>
    <t>UAPO BRIMONIDINA 0.2% SOLUCION OFTALMICA</t>
  </si>
  <si>
    <t>UAPO CICLOPENTOLATO 1% SO. OFT. 15ML</t>
  </si>
  <si>
    <t>UAPO CINTAS DE FLUORESCEINA CAJA X 100 UNIDADES</t>
  </si>
  <si>
    <t>UAPO CIPROFLOXACINO 0.3% + DEXAMETASONA 0.1% SOLUCIÓN OFTALMICA 5ML</t>
  </si>
  <si>
    <t>UAPO DICLOFENACO SODICO 0.1% FCO 5ML</t>
  </si>
  <si>
    <t>UAPO DORZOLAMIDA 2% TIMOLOL 0.5% SOLUCION OFTALMICA</t>
  </si>
  <si>
    <t>UAPO DORZOLAMIDA 2% SOLUCION OFTALMICA</t>
  </si>
  <si>
    <t>UAPO FENILEFRINA 2,5% SOLUCION OFTALMICA</t>
  </si>
  <si>
    <t>UAPO GENTAMICINA 0.3% SOLUCION OFTALMICA</t>
  </si>
  <si>
    <t>UAPO GENTAMICINA 0.3% UNGÜENTO OFTALMICO</t>
  </si>
  <si>
    <t>UAPO HIALURONATO DE SODIO 4MG/ML OFTALMICO (LUBRICANTE OCULAR)</t>
  </si>
  <si>
    <t>UAPO KETOTIFENO 0.025% (ZABAK 0.025% X 5ML)</t>
  </si>
  <si>
    <t>UAPO LAGRIMAS ARTIFICIALES</t>
  </si>
  <si>
    <t>UAPO LATANOPROST NO REFRIGERADO</t>
  </si>
  <si>
    <t>UAPO PREDNISOLONA 1% SUSPENSION OFTALMICA</t>
  </si>
  <si>
    <t>UAPO TIMOLOL 0.5% SOLUCION OFTALMICA</t>
  </si>
  <si>
    <t>UAPO TOBRAMICINA 0.3% DEXAMETASONA 0.1% SOLUCION OFTALMICA</t>
  </si>
  <si>
    <t>UAPO TOBRAMICINA 0.3% +DEXAMETASONA 3.5gr UNGÜENTO</t>
  </si>
  <si>
    <t>UAPO TRAVOPROST 0.004% SOLUCION OFTALMICA</t>
  </si>
  <si>
    <t>UAPO TROPICAMIDA 1% SOLUCION OFTALMICA</t>
  </si>
  <si>
    <t>UAPO papel ECG termosensible rollo blanco 57mm x 25mts</t>
  </si>
  <si>
    <t>VASELINA AZUFRADA 6% POTE 50 GRS.</t>
  </si>
  <si>
    <t>VASELINA LIQUIDA 5 ML. AMPOLLAS</t>
  </si>
  <si>
    <t>VASELINA LIQUIDA MEDICINAL FRASCO (120ML A 200ML)</t>
  </si>
  <si>
    <t>VASELINA SOLIDA X 1 KG</t>
  </si>
  <si>
    <t>VASOS CHICOS BLANCOS DESECHABLES</t>
  </si>
  <si>
    <t>VASOS DAPPEN VIDRIO DIFERENTES COLORES</t>
  </si>
  <si>
    <t>VENDA DE GASA ELASTICA (ELASTOMULL) 10X4 CM (X UNIDAD)</t>
  </si>
  <si>
    <t>VENDA DE YESO / UNIDAD</t>
  </si>
  <si>
    <t>VENDA DE YESO ROLLO 12.5 CM X 4MTS (XUNIDAD)</t>
  </si>
  <si>
    <t>VENLAFAXINA 75MG LIBERACION PROLONGADA (x unidad)</t>
  </si>
  <si>
    <t>VERAPAMILO 5MG/2ML.SOLUCION INYECTABLE - AMPOLLAS</t>
  </si>
  <si>
    <t>VIDRIO IONOMERO CEMENTACION AUTOCURADO TIPO 3 M KETAC CEM EASYMIX 15 GRS/6ML</t>
  </si>
  <si>
    <t>VIDRIO IONOMERO SDI CAPSULA RIVA SELF CURE HV COLOR A3 50 UNIDADES</t>
  </si>
  <si>
    <t>VIDRIO IONOMERO SDI RIVA APLICADOR UNIDAD</t>
  </si>
  <si>
    <t>YODOFORMO</t>
  </si>
  <si>
    <t>Yeso Corriente Xkg</t>
  </si>
  <si>
    <t>Yeso Velmix stone tipo 4 x kg</t>
  </si>
  <si>
    <t>Yeso piedra amarillo</t>
  </si>
  <si>
    <t>ZOLPIDEM 10MG COMP.</t>
  </si>
  <si>
    <t>escobillas cerdas negras para torno 3-4 hileras</t>
  </si>
  <si>
    <t>hipoclorito de sodio al 2,5% frasco 1000c.c</t>
  </si>
  <si>
    <t>oclusores plasticos morados</t>
  </si>
  <si>
    <t>portalija acero inox. pieza mano</t>
  </si>
  <si>
    <t>SAR ALERCE</t>
  </si>
  <si>
    <t>SAPU PH</t>
  </si>
  <si>
    <t>CARMELA CARVAJAL</t>
  </si>
  <si>
    <t>ANTONIO VARAS</t>
  </si>
  <si>
    <t>CECOSF LAWEN</t>
  </si>
  <si>
    <t>CECOSF ALERCE NORTE</t>
  </si>
  <si>
    <t>ANGELMO</t>
  </si>
  <si>
    <t>PADRE HURTADO</t>
  </si>
  <si>
    <t>CECOSF PUERTA SUR</t>
  </si>
  <si>
    <t>ESR</t>
  </si>
  <si>
    <t>UAPO</t>
  </si>
  <si>
    <t>ASISTE-CPU</t>
  </si>
  <si>
    <t>CEAPS</t>
  </si>
  <si>
    <t>LAB. CLINICO</t>
  </si>
  <si>
    <t>ORL</t>
  </si>
  <si>
    <t>CLINICA MOVIL</t>
  </si>
  <si>
    <t>C. ALERCE</t>
  </si>
  <si>
    <t>PEDIDO</t>
  </si>
  <si>
    <t>ENTREGA</t>
  </si>
  <si>
    <t>CENTRO</t>
  </si>
  <si>
    <t>STOCK</t>
  </si>
  <si>
    <t>DESCRIPCION</t>
  </si>
  <si>
    <t>CONSUMO</t>
  </si>
  <si>
    <t>CODIGO</t>
  </si>
  <si>
    <t>FECHA</t>
  </si>
  <si>
    <t>PENDIENTE</t>
  </si>
  <si>
    <t>PENDIENTES</t>
  </si>
  <si>
    <t>999999999</t>
  </si>
  <si>
    <t xml:space="preserve">  </t>
  </si>
  <si>
    <t>NO BORRAR DATOS. GRACIAS :)</t>
  </si>
  <si>
    <t>SE COMPLETA SOLO. NO AGREGAR NADA</t>
  </si>
  <si>
    <t>MOTIVO</t>
  </si>
  <si>
    <t>COD</t>
  </si>
  <si>
    <t>CANTIDAD PEDIDO</t>
  </si>
  <si>
    <t>DIFERENCIAS</t>
  </si>
  <si>
    <t>CANT. PEDIDO</t>
  </si>
  <si>
    <t xml:space="preserve">SALIDAS </t>
  </si>
  <si>
    <t>CANGELMO</t>
  </si>
  <si>
    <t>FARMACO 3</t>
  </si>
  <si>
    <t>FARMACO 4</t>
  </si>
  <si>
    <t>FARMACO 2</t>
  </si>
  <si>
    <t>TD</t>
  </si>
  <si>
    <t>FARMACO 1</t>
  </si>
  <si>
    <t>VALOR DE ARTICULOS[$]</t>
  </si>
  <si>
    <t>TOTAL</t>
  </si>
  <si>
    <t>PESO PALLET[Kg]</t>
  </si>
  <si>
    <t>CONTROLADO</t>
  </si>
  <si>
    <t>INSUMOS</t>
  </si>
  <si>
    <t>REVISION</t>
  </si>
  <si>
    <t>REGULARIZACION</t>
  </si>
  <si>
    <t>INSUMOS 1</t>
  </si>
  <si>
    <t>N° DE SALIDA</t>
  </si>
  <si>
    <t>NO FOFAR</t>
  </si>
  <si>
    <t>C. PADRE HURTADO 28-08-2025</t>
  </si>
  <si>
    <t>FOFAR</t>
  </si>
  <si>
    <t>ADELANTO</t>
  </si>
  <si>
    <t>SAPU PADRE HURTADO 28-08-2025</t>
  </si>
  <si>
    <t>PUERTA SUR  27-08-2025</t>
  </si>
  <si>
    <t>228524/228366</t>
  </si>
  <si>
    <t>C. ANGELMO 25-08-2025</t>
  </si>
  <si>
    <t>228081/227915</t>
  </si>
  <si>
    <t>227761/227725</t>
  </si>
  <si>
    <t>CEAPS Y CPU</t>
  </si>
  <si>
    <t>CM</t>
  </si>
  <si>
    <t>227420/227089</t>
  </si>
  <si>
    <t>228554/226953</t>
  </si>
  <si>
    <t>CCC</t>
  </si>
  <si>
    <t>227018/</t>
  </si>
  <si>
    <t>227074/227010/226818</t>
  </si>
  <si>
    <t>226933/226923/226817</t>
  </si>
  <si>
    <t>228564/226754</t>
  </si>
  <si>
    <t>NO LLENAR</t>
  </si>
  <si>
    <t>PRIMER LOTE ESTA EN DETERIORADO</t>
  </si>
  <si>
    <t>PRIMER LOTE NO SE ENCUENTRA</t>
  </si>
  <si>
    <t>PRIMER LOTE INCOMPLETO</t>
  </si>
  <si>
    <t xml:space="preserve">Faltan 50 unidades </t>
  </si>
  <si>
    <t xml:space="preserve">Stock fisico no se encuentra el lote en el sistema </t>
  </si>
  <si>
    <t xml:space="preserve">faltan 200 unidades </t>
  </si>
  <si>
    <t>faltan 2 cajas del lote 4600001927</t>
  </si>
  <si>
    <t xml:space="preserve">faltan 500 unidades 1° lote </t>
  </si>
  <si>
    <t>NO QUEDAN EN SISTEMA Y SI EN FISICO</t>
  </si>
  <si>
    <t xml:space="preserve">falta primer lote </t>
  </si>
  <si>
    <t>falta primer lote 120 comp</t>
  </si>
  <si>
    <t>??</t>
  </si>
  <si>
    <t>1 CAJA EN DETERIORADOS</t>
  </si>
  <si>
    <t>PRIMER LOTE NO ESTA</t>
  </si>
  <si>
    <t>QUEDAN 16 CAJAS EN LUGAR DE 11</t>
  </si>
  <si>
    <t xml:space="preserve">FALTAN 2 UNIDADES </t>
  </si>
  <si>
    <t xml:space="preserve">cruze de lotes </t>
  </si>
  <si>
    <t>faltan 2 unidades que salen primero</t>
  </si>
  <si>
    <t>enviados 1000 22-10</t>
  </si>
  <si>
    <t xml:space="preserve">Sobran 5 cajas </t>
  </si>
  <si>
    <t>faltan 300 unidades de 1° lote</t>
  </si>
  <si>
    <t>faltan 4 unidades de 1° lote</t>
  </si>
  <si>
    <t xml:space="preserve">Lote le falta un 0 </t>
  </si>
  <si>
    <t>primer lote no esta</t>
  </si>
  <si>
    <t>consuderar que los 55 en existencia estan en retiro de mercado</t>
  </si>
  <si>
    <t>saldo esta en vencidos</t>
  </si>
  <si>
    <t>ALCOHOL DESTILADO 250 ML</t>
  </si>
  <si>
    <t>FALTAN UNIDADES PRIMER LOTE</t>
  </si>
  <si>
    <t xml:space="preserve">Faltan 13 unidades de primer lote </t>
  </si>
  <si>
    <t xml:space="preserve">Falta  primer lote </t>
  </si>
  <si>
    <t>PRIMER LOTE HAY MAS FISICO</t>
  </si>
  <si>
    <t>FALTAN</t>
  </si>
  <si>
    <t>FALTA PRIMER LOTE</t>
  </si>
  <si>
    <t xml:space="preserve">FALTAN UNIDADES </t>
  </si>
  <si>
    <t xml:space="preserve">Sobran cajas </t>
  </si>
  <si>
    <t xml:space="preserve">Cruze de lotes </t>
  </si>
  <si>
    <t xml:space="preserve">Faltan unidades </t>
  </si>
  <si>
    <t xml:space="preserve">Falta 1 cero en el lote </t>
  </si>
  <si>
    <t>falta 1 unidad</t>
  </si>
  <si>
    <t>falta 1 lote</t>
  </si>
  <si>
    <t>falta 2 uni 1er lote</t>
  </si>
  <si>
    <t>falta 1er lote</t>
  </si>
  <si>
    <t>falta 1er lote 2 UNI</t>
  </si>
  <si>
    <t xml:space="preserve">falta 1er 10 lote </t>
  </si>
  <si>
    <t>FALTA EL PRIMER LOTE</t>
  </si>
  <si>
    <t xml:space="preserve">UAPORRINO </t>
  </si>
  <si>
    <t xml:space="preserve">Falta 10 unidades </t>
  </si>
  <si>
    <t xml:space="preserve">Falta 5 unidades </t>
  </si>
  <si>
    <t xml:space="preserve">Faltan 13 unidades </t>
  </si>
  <si>
    <t xml:space="preserve">Falta 1 unidad </t>
  </si>
  <si>
    <t xml:space="preserve">Falta PRIMER LOTE  </t>
  </si>
  <si>
    <t xml:space="preserve">Faltan 2 primeros lotes </t>
  </si>
  <si>
    <t xml:space="preserve">Falta 1 unidad primer lote </t>
  </si>
  <si>
    <t xml:space="preserve">Lote no se encuentra en el sistema </t>
  </si>
  <si>
    <t xml:space="preserve">Falta 1 unidad del primer lote </t>
  </si>
  <si>
    <t>DEL PRIMER LOTE HAY 1900 FISICO Y 900 EN EL SISTEMA</t>
  </si>
  <si>
    <t>SOBRAN 20 DEL PRIMER LOTE</t>
  </si>
  <si>
    <t>CRUCE</t>
  </si>
  <si>
    <t xml:space="preserve">UNIDADES SOBRANTES </t>
  </si>
  <si>
    <t>|</t>
  </si>
  <si>
    <t>faltan 300 udel segundo lote</t>
  </si>
  <si>
    <t>Falta una unidad,el primer lote</t>
  </si>
  <si>
    <t xml:space="preserve">Faltan 2 unidades </t>
  </si>
  <si>
    <t>falta primer lote</t>
  </si>
  <si>
    <t>Faltan 2 lotes</t>
  </si>
  <si>
    <t>faltan 2 lotes</t>
  </si>
  <si>
    <t xml:space="preserve">stock fisico no es el mismo stock del sistema </t>
  </si>
  <si>
    <t>faltan del ultimo lote</t>
  </si>
  <si>
    <t>1° no esta</t>
  </si>
  <si>
    <t xml:space="preserve">faltan unidades </t>
  </si>
  <si>
    <t xml:space="preserve">faltan  2 PRIMEROS LOTES </t>
  </si>
  <si>
    <t>faltan 100 comprimido</t>
  </si>
  <si>
    <t>faltan 10 UNIDADES</t>
  </si>
  <si>
    <t>NO/FOFAR</t>
  </si>
  <si>
    <t>SI</t>
  </si>
  <si>
    <t>OK</t>
  </si>
  <si>
    <t>TIENE STOCK</t>
  </si>
  <si>
    <t xml:space="preserve">faltan 30 unidades </t>
  </si>
  <si>
    <t xml:space="preserve">sobran unidades </t>
  </si>
  <si>
    <t xml:space="preserve">faltan 150 unidades </t>
  </si>
  <si>
    <t>FALTAN LOS 2 PRIMEROS LOTES</t>
  </si>
  <si>
    <t xml:space="preserve">faltan 150 frascos </t>
  </si>
  <si>
    <t>falta 1° lote</t>
  </si>
  <si>
    <t>falta 30 primer lote</t>
  </si>
  <si>
    <t xml:space="preserve">ISP mal </t>
  </si>
  <si>
    <t>FALTA 33 UNI.PRIMER LOTE</t>
  </si>
  <si>
    <t>arreglar ISP</t>
  </si>
  <si>
    <t>El primer lote no está, puede ser un cruce de lotes</t>
  </si>
  <si>
    <t xml:space="preserve">faltan isp de todas las jeringas </t>
  </si>
  <si>
    <t>revisar inventario cruce de lotes</t>
  </si>
  <si>
    <t>OK 400</t>
  </si>
  <si>
    <t>OK 600</t>
  </si>
  <si>
    <t>OK 800</t>
  </si>
  <si>
    <t>FALTAN FISICOS DEL PRIMER LOTE</t>
  </si>
  <si>
    <t>no esta le primer lote</t>
  </si>
  <si>
    <t>100 ENVIADO</t>
  </si>
  <si>
    <t>Error en lote</t>
  </si>
  <si>
    <t>Lote sin ISP</t>
  </si>
  <si>
    <t>FALTAN 200 PRIMER LOTE</t>
  </si>
  <si>
    <t>falta 1 caja</t>
  </si>
  <si>
    <t xml:space="preserve">Sobran unidades </t>
  </si>
  <si>
    <t xml:space="preserve">falta primer lote unidades </t>
  </si>
  <si>
    <t xml:space="preserve">Despachado </t>
  </si>
  <si>
    <t>CENABAST</t>
  </si>
  <si>
    <t>OC</t>
  </si>
  <si>
    <t>P. ESPECIAL</t>
  </si>
  <si>
    <t>DESPACHADO</t>
  </si>
  <si>
    <t>X</t>
  </si>
  <si>
    <t xml:space="preserve">Funcionarios </t>
  </si>
  <si>
    <t>HECTOR</t>
  </si>
  <si>
    <t>HECTOR Y ARELLY</t>
  </si>
  <si>
    <t>ARELLY ,ANGELICA</t>
  </si>
  <si>
    <t>Se envio  a C.C.C</t>
  </si>
  <si>
    <t>Se envio a C.C.C</t>
  </si>
  <si>
    <t>Despachado</t>
  </si>
  <si>
    <t xml:space="preserve">javiera </t>
  </si>
  <si>
    <t>ok</t>
  </si>
  <si>
    <t>Arelly , ruben</t>
  </si>
  <si>
    <t xml:space="preserve">Arelly </t>
  </si>
  <si>
    <t xml:space="preserve">despachado </t>
  </si>
  <si>
    <t>x</t>
  </si>
  <si>
    <t>sobran del primer lote</t>
  </si>
  <si>
    <t xml:space="preserve">Pablo F- Hector V-Ruben - Javiera </t>
  </si>
  <si>
    <t xml:space="preserve">Javiera </t>
  </si>
  <si>
    <t>enviado</t>
  </si>
  <si>
    <t xml:space="preserve">enviado </t>
  </si>
  <si>
    <t>despachado</t>
  </si>
  <si>
    <t xml:space="preserve">N </t>
  </si>
  <si>
    <t>Falta primer lote</t>
  </si>
  <si>
    <t>Sobra 1 caja del primer lote</t>
  </si>
  <si>
    <t>Pablo F. - Ruben V.</t>
  </si>
  <si>
    <t xml:space="preserve">DESPACHADO </t>
  </si>
  <si>
    <t>FALTAN 2 DEL 1ER LOTE 35 UNI</t>
  </si>
  <si>
    <t>CRUZE DE LOTES</t>
  </si>
  <si>
    <t>1° lote esta mal el ISP</t>
  </si>
  <si>
    <t>cruze de lotes</t>
  </si>
  <si>
    <t xml:space="preserve">Falta 1 caja  de 35 unidades </t>
  </si>
  <si>
    <t xml:space="preserve"> falta 1 caja de 20 unidades</t>
  </si>
  <si>
    <t xml:space="preserve">1° lote esta mal ISP </t>
  </si>
  <si>
    <t>TD IVERMECTINA 1% CREMA TOPICA 30 GRAMOS</t>
  </si>
  <si>
    <t xml:space="preserve">SOBRAN 2 CAJAS </t>
  </si>
  <si>
    <t>INVENTARIAS LOTE</t>
  </si>
  <si>
    <t>falta 1 unidad del 1° lote</t>
  </si>
  <si>
    <t xml:space="preserve">Falta cantidades 1° lote </t>
  </si>
  <si>
    <t>1° lote no coincide con el lote fisico</t>
  </si>
  <si>
    <t>FALTA UNA UNIDAD PRIMER 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</si>
</sst>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\-* #,##0_-;_-* &quot;-&quot;??_-;_-@_-"/>
    <numFmt numFmtId="166" formatCode="m/d/yyyy"/>
  </numFmts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name val="Calibri"/>
      <family val="2"/>
      <scheme val="minor"/>
    </font>
    <font>
      <sz val="10"/>
      <color theme="1"/>
      <name val="Arial Unicode MS"/>
    </font>
    <font>
      <sz val="2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9"/>
      <color rgb="FF0C2B6B"/>
      <name val="Arial"/>
      <family val="2"/>
    </font>
    <font>
      <b/>
      <sz val="8"/>
      <color rgb="FF0C2B6B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theme="4"/>
      </patternFill>
    </fill>
    <fill>
      <patternFill patternType="solid">
        <fgColor rgb="FFFFCC99"/>
        <bgColor indexed="64"/>
      </patternFill>
    </fill>
    <fill>
      <patternFill patternType="solid">
        <fgColor rgb="FFFF99FF"/>
        <bgColor theme="4"/>
      </patternFill>
    </fill>
    <fill>
      <patternFill patternType="solid">
        <fgColor rgb="FFFF99FF"/>
        <bgColor indexed="64"/>
      </patternFill>
    </fill>
    <fill>
      <patternFill patternType="solid">
        <fgColor rgb="FF66FFFF"/>
        <bgColor theme="4"/>
      </patternFill>
    </fill>
    <fill>
      <patternFill patternType="solid">
        <fgColor rgb="FF66FFFF"/>
        <bgColor indexed="64"/>
      </patternFill>
    </fill>
    <fill>
      <patternFill patternType="solid">
        <fgColor rgb="FF99FF99"/>
        <bgColor theme="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theme="4"/>
      </patternFill>
    </fill>
    <fill>
      <patternFill patternType="solid">
        <fgColor rgb="FFFFFF66"/>
        <bgColor indexed="64"/>
      </patternFill>
    </fill>
    <fill>
      <patternFill patternType="solid">
        <fgColor rgb="FF33CCFF"/>
        <bgColor theme="4"/>
      </patternFill>
    </fill>
    <fill>
      <patternFill patternType="solid">
        <fgColor rgb="FF33CCFF"/>
        <bgColor indexed="64"/>
      </patternFill>
    </fill>
    <fill>
      <patternFill patternType="solid">
        <fgColor rgb="FF00FFFF"/>
        <bgColor theme="4"/>
      </patternFill>
    </fill>
    <fill>
      <patternFill patternType="solid">
        <fgColor rgb="FF00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CC"/>
        <bgColor theme="4"/>
      </patternFill>
    </fill>
    <fill>
      <patternFill patternType="solid">
        <fgColor rgb="FF00FFCC"/>
        <bgColor indexed="64"/>
      </patternFill>
    </fill>
    <fill>
      <patternFill patternType="solid">
        <fgColor rgb="FF9999FF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theme="4"/>
      </patternFill>
    </fill>
    <fill>
      <patternFill patternType="solid">
        <fgColor rgb="FF99CC00"/>
        <bgColor indexed="64"/>
      </patternFill>
    </fill>
    <fill>
      <patternFill patternType="solid">
        <fgColor rgb="FF33CCCC"/>
        <bgColor theme="4"/>
      </patternFill>
    </fill>
    <fill>
      <patternFill patternType="solid">
        <fgColor rgb="FF33CCCC"/>
        <bgColor indexed="64"/>
      </patternFill>
    </fill>
    <fill>
      <patternFill patternType="solid">
        <fgColor rgb="FFFF9933"/>
        <bgColor theme="4"/>
      </patternFill>
    </fill>
    <fill>
      <patternFill patternType="solid">
        <fgColor rgb="FFFF9933"/>
        <bgColor indexed="64"/>
      </patternFill>
    </fill>
    <fill>
      <patternFill patternType="solid">
        <fgColor rgb="FFFFFF99"/>
        <bgColor theme="4"/>
      </patternFill>
    </fill>
    <fill>
      <patternFill patternType="solid">
        <fgColor rgb="FFFFFF99"/>
        <bgColor indexed="64"/>
      </patternFill>
    </fill>
    <fill>
      <patternFill patternType="solid">
        <fgColor theme="0"/>
      </patternFill>
    </fill>
    <fill>
      <patternFill patternType="solid">
        <fgColor rgb="FFD0F6ED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0070C0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/>
      </patternFill>
    </fill>
    <fill>
      <patternFill patternType="solid">
        <fgColor rgb="FFEFF6FF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right"/>
    </xf>
    <xf numFmtId="0" fontId="0" fillId="3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2" xfId="0" applyBorder="1" applyAlignment="1">
      <alignment horizontal="right" wrapText="1"/>
    </xf>
    <xf numFmtId="0" fontId="0" fillId="0" borderId="2" xfId="0" applyBorder="1" applyAlignment="1">
      <alignment horizontal="left" wrapText="1"/>
    </xf>
    <xf numFmtId="0" fontId="0" fillId="0" borderId="1" xfId="0" applyBorder="1"/>
    <xf numFmtId="0" fontId="4" fillId="0" borderId="3" xfId="0" applyFont="1" applyBorder="1" applyAlignment="1">
      <alignment wrapText="1"/>
    </xf>
    <xf numFmtId="0" fontId="0" fillId="5" borderId="2" xfId="0" applyFill="1" applyBorder="1" applyAlignment="1">
      <alignment horizontal="right" wrapText="1"/>
    </xf>
    <xf numFmtId="0" fontId="0" fillId="5" borderId="2" xfId="0" applyFill="1" applyBorder="1" applyAlignment="1">
      <alignment horizontal="left" wrapText="1"/>
    </xf>
    <xf numFmtId="1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9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vertical="top"/>
    </xf>
    <xf numFmtId="0" fontId="11" fillId="3" borderId="0" xfId="0" applyFont="1" applyFill="1" applyAlignment="1">
      <alignment horizontal="left" wrapText="1"/>
    </xf>
    <xf numFmtId="14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0" borderId="1" xfId="0" applyFont="1" applyBorder="1"/>
    <xf numFmtId="0" fontId="0" fillId="0" borderId="19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2" fillId="0" borderId="18" xfId="0" applyFont="1" applyBorder="1" applyAlignment="1">
      <alignment vertical="top" wrapText="1"/>
    </xf>
    <xf numFmtId="164" fontId="0" fillId="0" borderId="1" xfId="0" applyNumberFormat="1" applyBorder="1"/>
    <xf numFmtId="165" fontId="0" fillId="0" borderId="1" xfId="1" applyNumberFormat="1" applyFont="1" applyBorder="1" applyAlignment="1">
      <alignment horizontal="right" vertical="top"/>
    </xf>
    <xf numFmtId="165" fontId="0" fillId="0" borderId="1" xfId="0" applyNumberFormat="1" applyBorder="1"/>
    <xf numFmtId="1" fontId="0" fillId="0" borderId="0" xfId="1" applyNumberFormat="1" applyFont="1"/>
    <xf numFmtId="1" fontId="0" fillId="0" borderId="1" xfId="1" applyNumberFormat="1" applyFont="1" applyBorder="1"/>
    <xf numFmtId="1" fontId="0" fillId="0" borderId="1" xfId="1" applyNumberFormat="1" applyFont="1" applyBorder="1" applyAlignment="1">
      <alignment horizontal="right" vertical="top"/>
    </xf>
    <xf numFmtId="0" fontId="4" fillId="0" borderId="0" xfId="0" applyFont="1"/>
    <xf numFmtId="0" fontId="0" fillId="0" borderId="9" xfId="0" applyBorder="1"/>
    <xf numFmtId="165" fontId="0" fillId="0" borderId="7" xfId="1" applyNumberFormat="1" applyFont="1" applyFill="1" applyBorder="1" applyAlignment="1">
      <alignment horizontal="right" vertical="top"/>
    </xf>
    <xf numFmtId="164" fontId="0" fillId="0" borderId="0" xfId="0" applyNumberFormat="1"/>
    <xf numFmtId="0" fontId="4" fillId="0" borderId="1" xfId="0" applyFont="1" applyBorder="1"/>
    <xf numFmtId="165" fontId="0" fillId="6" borderId="1" xfId="1" applyNumberFormat="1" applyFont="1" applyFill="1" applyBorder="1" applyAlignment="1">
      <alignment horizontal="right" vertical="top"/>
    </xf>
    <xf numFmtId="1" fontId="0" fillId="6" borderId="1" xfId="1" applyNumberFormat="1" applyFont="1" applyFill="1" applyBorder="1" applyAlignment="1">
      <alignment horizontal="right" vertical="top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8" fillId="3" borderId="0" xfId="0" applyFont="1" applyFill="1" applyAlignment="1">
      <alignment horizontal="left" wrapText="1"/>
    </xf>
    <xf numFmtId="14" fontId="8" fillId="0" borderId="1" xfId="0" applyNumberFormat="1" applyFont="1" applyBorder="1"/>
    <xf numFmtId="14" fontId="3" fillId="0" borderId="1" xfId="0" applyNumberFormat="1" applyFont="1" applyBorder="1"/>
    <xf numFmtId="0" fontId="3" fillId="0" borderId="1" xfId="0" applyFont="1" applyBorder="1"/>
    <xf numFmtId="14" fontId="2" fillId="4" borderId="1" xfId="0" applyNumberFormat="1" applyFont="1" applyFill="1" applyBorder="1"/>
    <xf numFmtId="0" fontId="2" fillId="4" borderId="1" xfId="0" applyFont="1" applyFill="1" applyBorder="1"/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3" fillId="4" borderId="1" xfId="0" applyFont="1" applyFill="1" applyBorder="1"/>
    <xf numFmtId="0" fontId="3" fillId="3" borderId="1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0" fontId="2" fillId="4" borderId="5" xfId="0" applyFont="1" applyFill="1" applyBorder="1"/>
    <xf numFmtId="0" fontId="3" fillId="3" borderId="1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3" borderId="1" xfId="0" applyFont="1" applyFill="1" applyBorder="1"/>
    <xf numFmtId="0" fontId="0" fillId="3" borderId="1" xfId="0" applyFill="1" applyBorder="1" applyAlignment="1">
      <alignment horizontal="center"/>
    </xf>
    <xf numFmtId="0" fontId="3" fillId="0" borderId="24" xfId="0" applyFont="1" applyBorder="1"/>
    <xf numFmtId="0" fontId="3" fillId="0" borderId="23" xfId="0" applyFont="1" applyBorder="1"/>
    <xf numFmtId="14" fontId="3" fillId="0" borderId="22" xfId="0" applyNumberFormat="1" applyFont="1" applyBorder="1"/>
    <xf numFmtId="0" fontId="3" fillId="0" borderId="22" xfId="0" applyFont="1" applyBorder="1"/>
    <xf numFmtId="14" fontId="0" fillId="2" borderId="5" xfId="0" applyNumberFormat="1" applyFill="1" applyBorder="1" applyAlignment="1">
      <alignment horizontal="center"/>
    </xf>
    <xf numFmtId="0" fontId="3" fillId="0" borderId="5" xfId="0" applyFont="1" applyBorder="1"/>
    <xf numFmtId="14" fontId="3" fillId="3" borderId="25" xfId="0" applyNumberFormat="1" applyFont="1" applyFill="1" applyBorder="1"/>
    <xf numFmtId="0" fontId="3" fillId="3" borderId="26" xfId="0" applyFont="1" applyFill="1" applyBorder="1"/>
    <xf numFmtId="0" fontId="2" fillId="3" borderId="26" xfId="0" applyFont="1" applyFill="1" applyBorder="1" applyAlignment="1">
      <alignment horizontal="center" vertical="center"/>
    </xf>
    <xf numFmtId="14" fontId="6" fillId="3" borderId="26" xfId="0" applyNumberFormat="1" applyFont="1" applyFill="1" applyBorder="1"/>
    <xf numFmtId="0" fontId="7" fillId="3" borderId="26" xfId="0" applyFont="1" applyFill="1" applyBorder="1" applyAlignment="1">
      <alignment vertical="center"/>
    </xf>
    <xf numFmtId="0" fontId="3" fillId="3" borderId="27" xfId="0" applyFont="1" applyFill="1" applyBorder="1"/>
    <xf numFmtId="14" fontId="3" fillId="3" borderId="28" xfId="0" applyNumberFormat="1" applyFont="1" applyFill="1" applyBorder="1"/>
    <xf numFmtId="0" fontId="3" fillId="3" borderId="29" xfId="0" applyFont="1" applyFill="1" applyBorder="1"/>
    <xf numFmtId="14" fontId="2" fillId="4" borderId="28" xfId="0" applyNumberFormat="1" applyFont="1" applyFill="1" applyBorder="1"/>
    <xf numFmtId="0" fontId="2" fillId="4" borderId="30" xfId="0" applyFont="1" applyFill="1" applyBorder="1"/>
    <xf numFmtId="0" fontId="3" fillId="3" borderId="30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166" fontId="3" fillId="3" borderId="31" xfId="0" applyNumberFormat="1" applyFont="1" applyFill="1" applyBorder="1" applyAlignment="1">
      <alignment horizontal="center"/>
    </xf>
    <xf numFmtId="0" fontId="3" fillId="3" borderId="32" xfId="0" applyFont="1" applyFill="1" applyBorder="1" applyAlignment="1">
      <alignment horizontal="center"/>
    </xf>
    <xf numFmtId="166" fontId="3" fillId="3" borderId="20" xfId="0" applyNumberFormat="1" applyFont="1" applyFill="1" applyBorder="1" applyAlignment="1">
      <alignment horizontal="center"/>
    </xf>
    <xf numFmtId="14" fontId="2" fillId="7" borderId="28" xfId="0" applyNumberFormat="1" applyFont="1" applyFill="1" applyBorder="1"/>
    <xf numFmtId="0" fontId="0" fillId="8" borderId="1" xfId="0" applyFill="1" applyBorder="1" applyAlignment="1">
      <alignment horizontal="center"/>
    </xf>
    <xf numFmtId="0" fontId="2" fillId="7" borderId="1" xfId="0" applyFont="1" applyFill="1" applyBorder="1"/>
    <xf numFmtId="14" fontId="2" fillId="9" borderId="28" xfId="0" applyNumberFormat="1" applyFont="1" applyFill="1" applyBorder="1"/>
    <xf numFmtId="0" fontId="0" fillId="10" borderId="1" xfId="0" applyFill="1" applyBorder="1" applyAlignment="1">
      <alignment horizontal="center"/>
    </xf>
    <xf numFmtId="0" fontId="2" fillId="9" borderId="1" xfId="0" applyFont="1" applyFill="1" applyBorder="1"/>
    <xf numFmtId="14" fontId="2" fillId="11" borderId="28" xfId="0" applyNumberFormat="1" applyFont="1" applyFill="1" applyBorder="1"/>
    <xf numFmtId="0" fontId="0" fillId="12" borderId="1" xfId="0" applyFill="1" applyBorder="1" applyAlignment="1">
      <alignment horizontal="center"/>
    </xf>
    <xf numFmtId="0" fontId="2" fillId="11" borderId="1" xfId="0" applyFont="1" applyFill="1" applyBorder="1"/>
    <xf numFmtId="14" fontId="2" fillId="13" borderId="28" xfId="0" applyNumberFormat="1" applyFont="1" applyFill="1" applyBorder="1"/>
    <xf numFmtId="0" fontId="0" fillId="14" borderId="1" xfId="0" applyFill="1" applyBorder="1" applyAlignment="1">
      <alignment horizontal="center"/>
    </xf>
    <xf numFmtId="0" fontId="2" fillId="13" borderId="1" xfId="0" applyFont="1" applyFill="1" applyBorder="1"/>
    <xf numFmtId="14" fontId="2" fillId="15" borderId="28" xfId="0" applyNumberFormat="1" applyFont="1" applyFill="1" applyBorder="1"/>
    <xf numFmtId="0" fontId="0" fillId="16" borderId="1" xfId="0" applyFill="1" applyBorder="1" applyAlignment="1">
      <alignment horizontal="center"/>
    </xf>
    <xf numFmtId="0" fontId="2" fillId="15" borderId="1" xfId="0" applyFont="1" applyFill="1" applyBorder="1"/>
    <xf numFmtId="14" fontId="2" fillId="17" borderId="28" xfId="0" applyNumberFormat="1" applyFont="1" applyFill="1" applyBorder="1"/>
    <xf numFmtId="0" fontId="0" fillId="18" borderId="1" xfId="0" applyFill="1" applyBorder="1" applyAlignment="1">
      <alignment horizontal="center"/>
    </xf>
    <xf numFmtId="0" fontId="2" fillId="17" borderId="1" xfId="0" applyFont="1" applyFill="1" applyBorder="1"/>
    <xf numFmtId="14" fontId="2" fillId="19" borderId="28" xfId="0" applyNumberFormat="1" applyFont="1" applyFill="1" applyBorder="1"/>
    <xf numFmtId="0" fontId="0" fillId="20" borderId="1" xfId="0" applyFill="1" applyBorder="1" applyAlignment="1">
      <alignment horizontal="center"/>
    </xf>
    <xf numFmtId="0" fontId="2" fillId="19" borderId="1" xfId="0" applyFont="1" applyFill="1" applyBorder="1"/>
    <xf numFmtId="14" fontId="12" fillId="21" borderId="1" xfId="0" applyNumberFormat="1" applyFont="1" applyFill="1" applyBorder="1" applyAlignment="1">
      <alignment horizontal="center"/>
    </xf>
    <xf numFmtId="0" fontId="15" fillId="21" borderId="5" xfId="0" applyFont="1" applyFill="1" applyBorder="1" applyAlignment="1">
      <alignment horizontal="center" vertical="center" wrapText="1"/>
    </xf>
    <xf numFmtId="0" fontId="12" fillId="21" borderId="1" xfId="0" applyFont="1" applyFill="1" applyBorder="1" applyAlignment="1">
      <alignment horizontal="center"/>
    </xf>
    <xf numFmtId="0" fontId="12" fillId="21" borderId="1" xfId="0" applyFont="1" applyFill="1" applyBorder="1"/>
    <xf numFmtId="0" fontId="12" fillId="21" borderId="18" xfId="0" applyFont="1" applyFill="1" applyBorder="1" applyAlignment="1">
      <alignment vertical="top" wrapText="1"/>
    </xf>
    <xf numFmtId="0" fontId="14" fillId="21" borderId="5" xfId="0" applyFont="1" applyFill="1" applyBorder="1" applyAlignment="1">
      <alignment horizontal="left" wrapText="1"/>
    </xf>
    <xf numFmtId="0" fontId="8" fillId="21" borderId="6" xfId="0" applyFont="1" applyFill="1" applyBorder="1" applyAlignment="1">
      <alignment horizontal="left" wrapText="1"/>
    </xf>
    <xf numFmtId="0" fontId="12" fillId="0" borderId="7" xfId="0" applyFont="1" applyBorder="1" applyAlignment="1">
      <alignment vertical="top" wrapText="1"/>
    </xf>
    <xf numFmtId="0" fontId="16" fillId="22" borderId="24" xfId="2" applyBorder="1"/>
    <xf numFmtId="14" fontId="16" fillId="22" borderId="28" xfId="2" applyNumberFormat="1" applyBorder="1"/>
    <xf numFmtId="0" fontId="16" fillId="22" borderId="1" xfId="2" applyBorder="1" applyAlignment="1">
      <alignment horizontal="center"/>
    </xf>
    <xf numFmtId="0" fontId="16" fillId="22" borderId="1" xfId="2" applyBorder="1"/>
    <xf numFmtId="0" fontId="16" fillId="22" borderId="5" xfId="2" applyBorder="1"/>
    <xf numFmtId="0" fontId="16" fillId="22" borderId="30" xfId="2" applyBorder="1"/>
    <xf numFmtId="0" fontId="16" fillId="22" borderId="1" xfId="2" applyNumberFormat="1" applyBorder="1"/>
    <xf numFmtId="0" fontId="14" fillId="3" borderId="7" xfId="0" applyFont="1" applyFill="1" applyBorder="1" applyAlignment="1">
      <alignment horizontal="center" vertical="center" wrapText="1"/>
    </xf>
    <xf numFmtId="14" fontId="17" fillId="23" borderId="1" xfId="3" applyNumberFormat="1" applyBorder="1" applyAlignment="1">
      <alignment horizontal="center"/>
    </xf>
    <xf numFmtId="0" fontId="17" fillId="23" borderId="5" xfId="3" applyBorder="1" applyAlignment="1">
      <alignment horizontal="center" vertical="center" wrapText="1"/>
    </xf>
    <xf numFmtId="0" fontId="17" fillId="23" borderId="1" xfId="3" applyBorder="1" applyAlignment="1">
      <alignment horizontal="center"/>
    </xf>
    <xf numFmtId="0" fontId="17" fillId="23" borderId="1" xfId="3" applyBorder="1"/>
    <xf numFmtId="0" fontId="17" fillId="23" borderId="7" xfId="3" applyBorder="1" applyAlignment="1">
      <alignment vertical="top" wrapText="1"/>
    </xf>
    <xf numFmtId="0" fontId="17" fillId="23" borderId="5" xfId="3" applyBorder="1" applyAlignment="1">
      <alignment horizontal="left" wrapText="1"/>
    </xf>
    <xf numFmtId="14" fontId="17" fillId="23" borderId="6" xfId="3" applyNumberFormat="1" applyBorder="1" applyAlignment="1">
      <alignment horizontal="left" wrapText="1"/>
    </xf>
    <xf numFmtId="0" fontId="17" fillId="23" borderId="18" xfId="3" applyBorder="1" applyAlignment="1">
      <alignment vertical="top" wrapText="1"/>
    </xf>
    <xf numFmtId="0" fontId="17" fillId="23" borderId="6" xfId="3" applyBorder="1" applyAlignment="1">
      <alignment horizontal="left" wrapText="1"/>
    </xf>
    <xf numFmtId="14" fontId="12" fillId="24" borderId="1" xfId="0" applyNumberFormat="1" applyFont="1" applyFill="1" applyBorder="1" applyAlignment="1">
      <alignment horizontal="center"/>
    </xf>
    <xf numFmtId="0" fontId="15" fillId="24" borderId="5" xfId="0" applyFont="1" applyFill="1" applyBorder="1" applyAlignment="1">
      <alignment horizontal="center" vertical="center" wrapText="1"/>
    </xf>
    <xf numFmtId="0" fontId="12" fillId="24" borderId="1" xfId="0" applyFont="1" applyFill="1" applyBorder="1" applyAlignment="1">
      <alignment horizontal="center"/>
    </xf>
    <xf numFmtId="0" fontId="12" fillId="24" borderId="1" xfId="0" applyFont="1" applyFill="1" applyBorder="1"/>
    <xf numFmtId="0" fontId="12" fillId="24" borderId="7" xfId="0" applyFont="1" applyFill="1" applyBorder="1" applyAlignment="1">
      <alignment vertical="top" wrapText="1"/>
    </xf>
    <xf numFmtId="0" fontId="14" fillId="24" borderId="5" xfId="0" applyFont="1" applyFill="1" applyBorder="1" applyAlignment="1">
      <alignment horizontal="left" wrapText="1"/>
    </xf>
    <xf numFmtId="0" fontId="8" fillId="24" borderId="6" xfId="0" applyFont="1" applyFill="1" applyBorder="1" applyAlignment="1">
      <alignment horizontal="left" wrapText="1"/>
    </xf>
    <xf numFmtId="14" fontId="8" fillId="24" borderId="6" xfId="0" applyNumberFormat="1" applyFont="1" applyFill="1" applyBorder="1" applyAlignment="1">
      <alignment horizontal="left" wrapText="1"/>
    </xf>
    <xf numFmtId="14" fontId="2" fillId="25" borderId="28" xfId="0" applyNumberFormat="1" applyFont="1" applyFill="1" applyBorder="1"/>
    <xf numFmtId="0" fontId="2" fillId="25" borderId="1" xfId="0" applyFont="1" applyFill="1" applyBorder="1"/>
    <xf numFmtId="0" fontId="0" fillId="26" borderId="1" xfId="0" applyFill="1" applyBorder="1" applyAlignment="1">
      <alignment horizontal="center"/>
    </xf>
    <xf numFmtId="14" fontId="2" fillId="27" borderId="28" xfId="0" applyNumberFormat="1" applyFont="1" applyFill="1" applyBorder="1"/>
    <xf numFmtId="0" fontId="2" fillId="27" borderId="1" xfId="0" applyFont="1" applyFill="1" applyBorder="1"/>
    <xf numFmtId="0" fontId="0" fillId="28" borderId="1" xfId="0" applyFill="1" applyBorder="1" applyAlignment="1">
      <alignment horizontal="center"/>
    </xf>
    <xf numFmtId="14" fontId="2" fillId="29" borderId="28" xfId="0" applyNumberFormat="1" applyFont="1" applyFill="1" applyBorder="1"/>
    <xf numFmtId="0" fontId="2" fillId="29" borderId="1" xfId="0" applyFont="1" applyFill="1" applyBorder="1"/>
    <xf numFmtId="0" fontId="0" fillId="30" borderId="1" xfId="0" applyFill="1" applyBorder="1" applyAlignment="1">
      <alignment horizontal="center"/>
    </xf>
    <xf numFmtId="14" fontId="2" fillId="31" borderId="28" xfId="0" applyNumberFormat="1" applyFont="1" applyFill="1" applyBorder="1"/>
    <xf numFmtId="0" fontId="2" fillId="31" borderId="1" xfId="0" applyFont="1" applyFill="1" applyBorder="1"/>
    <xf numFmtId="0" fontId="0" fillId="32" borderId="1" xfId="0" applyFill="1" applyBorder="1" applyAlignment="1">
      <alignment horizontal="center"/>
    </xf>
    <xf numFmtId="14" fontId="2" fillId="33" borderId="28" xfId="0" applyNumberFormat="1" applyFont="1" applyFill="1" applyBorder="1"/>
    <xf numFmtId="0" fontId="2" fillId="33" borderId="1" xfId="0" applyFont="1" applyFill="1" applyBorder="1"/>
    <xf numFmtId="0" fontId="0" fillId="34" borderId="1" xfId="0" applyFill="1" applyBorder="1" applyAlignment="1">
      <alignment horizontal="center"/>
    </xf>
    <xf numFmtId="14" fontId="2" fillId="35" borderId="28" xfId="0" applyNumberFormat="1" applyFont="1" applyFill="1" applyBorder="1"/>
    <xf numFmtId="0" fontId="2" fillId="35" borderId="1" xfId="0" applyFont="1" applyFill="1" applyBorder="1"/>
    <xf numFmtId="0" fontId="0" fillId="36" borderId="1" xfId="0" applyFill="1" applyBorder="1" applyAlignment="1">
      <alignment horizontal="center"/>
    </xf>
    <xf numFmtId="14" fontId="2" fillId="37" borderId="28" xfId="0" applyNumberFormat="1" applyFont="1" applyFill="1" applyBorder="1"/>
    <xf numFmtId="0" fontId="2" fillId="37" borderId="1" xfId="0" applyFont="1" applyFill="1" applyBorder="1"/>
    <xf numFmtId="0" fontId="0" fillId="38" borderId="1" xfId="0" applyFill="1" applyBorder="1" applyAlignment="1">
      <alignment horizontal="center"/>
    </xf>
    <xf numFmtId="14" fontId="17" fillId="23" borderId="28" xfId="3" applyNumberFormat="1" applyBorder="1"/>
    <xf numFmtId="0" fontId="3" fillId="3" borderId="1" xfId="2" applyFont="1" applyFill="1" applyBorder="1" applyAlignment="1">
      <alignment horizontal="center"/>
    </xf>
    <xf numFmtId="0" fontId="17" fillId="39" borderId="5" xfId="3" applyFill="1" applyBorder="1"/>
    <xf numFmtId="0" fontId="0" fillId="3" borderId="1" xfId="0" applyFill="1" applyBorder="1"/>
    <xf numFmtId="0" fontId="0" fillId="39" borderId="33" xfId="3" applyFont="1" applyFill="1" applyBorder="1"/>
    <xf numFmtId="0" fontId="10" fillId="3" borderId="0" xfId="0" applyFont="1" applyFill="1" applyAlignment="1">
      <alignment horizontal="center" wrapText="1"/>
    </xf>
    <xf numFmtId="0" fontId="12" fillId="21" borderId="7" xfId="0" applyFont="1" applyFill="1" applyBorder="1" applyAlignment="1">
      <alignment vertical="top" wrapText="1"/>
    </xf>
    <xf numFmtId="14" fontId="13" fillId="40" borderId="1" xfId="2" applyNumberFormat="1" applyFont="1" applyFill="1" applyBorder="1" applyAlignment="1">
      <alignment horizontal="center"/>
    </xf>
    <xf numFmtId="0" fontId="13" fillId="40" borderId="5" xfId="2" applyFont="1" applyFill="1" applyBorder="1" applyAlignment="1">
      <alignment horizontal="center" vertical="center" wrapText="1"/>
    </xf>
    <xf numFmtId="0" fontId="13" fillId="40" borderId="1" xfId="2" applyFont="1" applyFill="1" applyBorder="1" applyAlignment="1">
      <alignment horizontal="center"/>
    </xf>
    <xf numFmtId="0" fontId="13" fillId="40" borderId="1" xfId="2" applyFont="1" applyFill="1" applyBorder="1"/>
    <xf numFmtId="0" fontId="13" fillId="40" borderId="7" xfId="2" applyFont="1" applyFill="1" applyBorder="1" applyAlignment="1">
      <alignment vertical="top" wrapText="1"/>
    </xf>
    <xf numFmtId="0" fontId="13" fillId="40" borderId="5" xfId="2" applyFont="1" applyFill="1" applyBorder="1" applyAlignment="1">
      <alignment horizontal="left" wrapText="1"/>
    </xf>
    <xf numFmtId="0" fontId="13" fillId="40" borderId="6" xfId="2" applyFont="1" applyFill="1" applyBorder="1" applyAlignment="1">
      <alignment horizontal="left" wrapText="1"/>
    </xf>
    <xf numFmtId="14" fontId="13" fillId="40" borderId="6" xfId="2" applyNumberFormat="1" applyFont="1" applyFill="1" applyBorder="1" applyAlignment="1">
      <alignment horizontal="left" wrapText="1"/>
    </xf>
    <xf numFmtId="0" fontId="12" fillId="40" borderId="7" xfId="2" applyFont="1" applyFill="1" applyBorder="1" applyAlignment="1">
      <alignment vertical="top" wrapText="1"/>
    </xf>
    <xf numFmtId="0" fontId="12" fillId="40" borderId="5" xfId="2" applyFont="1" applyFill="1" applyBorder="1" applyAlignment="1">
      <alignment horizontal="left" wrapText="1"/>
    </xf>
    <xf numFmtId="14" fontId="12" fillId="40" borderId="6" xfId="2" applyNumberFormat="1" applyFont="1" applyFill="1" applyBorder="1" applyAlignment="1">
      <alignment horizontal="left" wrapText="1"/>
    </xf>
    <xf numFmtId="0" fontId="0" fillId="21" borderId="0" xfId="0" applyFill="1" applyAlignment="1">
      <alignment horizontal="right"/>
    </xf>
    <xf numFmtId="0" fontId="0" fillId="21" borderId="1" xfId="0" applyFill="1" applyBorder="1" applyAlignment="1">
      <alignment horizontal="center"/>
    </xf>
    <xf numFmtId="0" fontId="0" fillId="21" borderId="0" xfId="0" applyFill="1"/>
    <xf numFmtId="14" fontId="2" fillId="41" borderId="28" xfId="0" applyNumberFormat="1" applyFont="1" applyFill="1" applyBorder="1"/>
    <xf numFmtId="0" fontId="2" fillId="41" borderId="1" xfId="0" applyFont="1" applyFill="1" applyBorder="1"/>
    <xf numFmtId="0" fontId="0" fillId="42" borderId="1" xfId="0" applyFill="1" applyBorder="1" applyAlignment="1">
      <alignment horizontal="center"/>
    </xf>
    <xf numFmtId="14" fontId="2" fillId="43" borderId="28" xfId="0" applyNumberFormat="1" applyFont="1" applyFill="1" applyBorder="1"/>
    <xf numFmtId="0" fontId="2" fillId="43" borderId="1" xfId="0" applyFont="1" applyFill="1" applyBorder="1"/>
    <xf numFmtId="0" fontId="0" fillId="44" borderId="1" xfId="0" applyFill="1" applyBorder="1" applyAlignment="1">
      <alignment horizontal="center"/>
    </xf>
    <xf numFmtId="14" fontId="2" fillId="45" borderId="28" xfId="0" applyNumberFormat="1" applyFont="1" applyFill="1" applyBorder="1"/>
    <xf numFmtId="0" fontId="2" fillId="45" borderId="1" xfId="0" applyFont="1" applyFill="1" applyBorder="1"/>
    <xf numFmtId="14" fontId="2" fillId="46" borderId="28" xfId="0" applyNumberFormat="1" applyFont="1" applyFill="1" applyBorder="1"/>
    <xf numFmtId="0" fontId="2" fillId="46" borderId="1" xfId="0" applyFont="1" applyFill="1" applyBorder="1"/>
    <xf numFmtId="0" fontId="0" fillId="47" borderId="1" xfId="0" applyFill="1" applyBorder="1" applyAlignment="1">
      <alignment horizontal="center"/>
    </xf>
    <xf numFmtId="0" fontId="3" fillId="47" borderId="1" xfId="0" applyFont="1" applyFill="1" applyBorder="1" applyAlignment="1">
      <alignment horizontal="center"/>
    </xf>
    <xf numFmtId="0" fontId="2" fillId="46" borderId="30" xfId="0" applyFont="1" applyFill="1" applyBorder="1"/>
    <xf numFmtId="0" fontId="2" fillId="46" borderId="33" xfId="0" applyFont="1" applyFill="1" applyBorder="1"/>
    <xf numFmtId="14" fontId="2" fillId="48" borderId="28" xfId="0" applyNumberFormat="1" applyFont="1" applyFill="1" applyBorder="1"/>
    <xf numFmtId="0" fontId="2" fillId="48" borderId="1" xfId="0" applyFont="1" applyFill="1" applyBorder="1"/>
    <xf numFmtId="0" fontId="0" fillId="49" borderId="1" xfId="0" applyFill="1" applyBorder="1" applyAlignment="1">
      <alignment horizontal="center"/>
    </xf>
    <xf numFmtId="0" fontId="3" fillId="49" borderId="1" xfId="0" applyFont="1" applyFill="1" applyBorder="1" applyAlignment="1">
      <alignment horizontal="center"/>
    </xf>
    <xf numFmtId="0" fontId="2" fillId="48" borderId="30" xfId="0" applyFont="1" applyFill="1" applyBorder="1"/>
    <xf numFmtId="0" fontId="4" fillId="48" borderId="33" xfId="0" applyFont="1" applyFill="1" applyBorder="1"/>
    <xf numFmtId="0" fontId="3" fillId="49" borderId="1" xfId="0" applyFont="1" applyFill="1" applyBorder="1"/>
    <xf numFmtId="0" fontId="3" fillId="3" borderId="24" xfId="0" applyFont="1" applyFill="1" applyBorder="1"/>
    <xf numFmtId="0" fontId="2" fillId="4" borderId="5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0" fontId="3" fillId="50" borderId="24" xfId="0" applyFont="1" applyFill="1" applyBorder="1"/>
    <xf numFmtId="14" fontId="2" fillId="51" borderId="28" xfId="0" applyNumberFormat="1" applyFont="1" applyFill="1" applyBorder="1"/>
    <xf numFmtId="0" fontId="2" fillId="51" borderId="1" xfId="0" applyFont="1" applyFill="1" applyBorder="1"/>
    <xf numFmtId="0" fontId="0" fillId="50" borderId="1" xfId="0" applyFill="1" applyBorder="1" applyAlignment="1">
      <alignment horizontal="center"/>
    </xf>
    <xf numFmtId="0" fontId="2" fillId="51" borderId="5" xfId="0" applyFont="1" applyFill="1" applyBorder="1"/>
    <xf numFmtId="0" fontId="2" fillId="51" borderId="30" xfId="0" applyFont="1" applyFill="1" applyBorder="1"/>
    <xf numFmtId="0" fontId="3" fillId="50" borderId="1" xfId="0" applyFont="1" applyFill="1" applyBorder="1"/>
    <xf numFmtId="0" fontId="3" fillId="10" borderId="24" xfId="0" applyFont="1" applyFill="1" applyBorder="1"/>
    <xf numFmtId="0" fontId="2" fillId="9" borderId="5" xfId="0" applyFont="1" applyFill="1" applyBorder="1"/>
    <xf numFmtId="0" fontId="2" fillId="9" borderId="30" xfId="0" applyFont="1" applyFill="1" applyBorder="1"/>
    <xf numFmtId="0" fontId="3" fillId="10" borderId="1" xfId="0" applyFont="1" applyFill="1" applyBorder="1"/>
    <xf numFmtId="0" fontId="2" fillId="41" borderId="5" xfId="0" applyFont="1" applyFill="1" applyBorder="1"/>
    <xf numFmtId="0" fontId="2" fillId="41" borderId="30" xfId="0" applyFont="1" applyFill="1" applyBorder="1"/>
    <xf numFmtId="0" fontId="12" fillId="6" borderId="1" xfId="0" applyFont="1" applyFill="1" applyBorder="1" applyAlignment="1">
      <alignment horizontal="center"/>
    </xf>
    <xf numFmtId="0" fontId="18" fillId="52" borderId="0" xfId="0" applyFont="1" applyFill="1" applyAlignment="1">
      <alignment horizontal="center" vertical="center" wrapText="1"/>
    </xf>
    <xf numFmtId="0" fontId="0" fillId="0" borderId="34" xfId="0" applyBorder="1" applyAlignment="1">
      <alignment horizontal="right" wrapText="1"/>
    </xf>
    <xf numFmtId="0" fontId="0" fillId="0" borderId="34" xfId="0" applyBorder="1" applyAlignment="1">
      <alignment horizontal="left" wrapText="1"/>
    </xf>
    <xf numFmtId="0" fontId="19" fillId="52" borderId="1" xfId="0" applyFont="1" applyFill="1" applyBorder="1" applyAlignment="1">
      <alignment horizontal="center" vertical="center" wrapText="1"/>
    </xf>
    <xf numFmtId="0" fontId="19" fillId="5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10" fillId="3" borderId="0" xfId="0" applyFont="1" applyFill="1" applyAlignment="1">
      <alignment horizontal="center" wrapText="1"/>
    </xf>
    <xf numFmtId="0" fontId="0" fillId="0" borderId="1" xfId="0" applyBorder="1" applyAlignment="1">
      <alignment horizontal="center"/>
    </xf>
  </cellXfs>
  <cellStyles count="4">
    <cellStyle name="Bueno" xfId="3" builtinId="26"/>
    <cellStyle name="Incorrecto" xfId="2" builtinId="27"/>
    <cellStyle name="Millares" xfId="1" builtinId="3"/>
    <cellStyle name="Normal" xfId="0" builtinId="0"/>
  </cellStyles>
  <dxfs count="39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m/d/yyyy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m/d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99FF"/>
      <color rgb="FFD0F6ED"/>
      <color rgb="FF33CCCC"/>
      <color rgb="FFFFFF99"/>
      <color rgb="FF009999"/>
      <color rgb="FFFF9933"/>
      <color rgb="FF99CC00"/>
      <color rgb="FF66CCFF"/>
      <color rgb="FFFFCC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493568</xdr:colOff>
      <xdr:row>0</xdr:row>
      <xdr:rowOff>83705</xdr:rowOff>
    </xdr:from>
    <xdr:to>
      <xdr:col>7</xdr:col>
      <xdr:colOff>528205</xdr:colOff>
      <xdr:row>3</xdr:row>
      <xdr:rowOff>161637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929460-7C0C-4634-ABDF-516FF04CB10D}"/>
            </a:ext>
          </a:extLst>
        </xdr:cNvPr>
        <xdr:cNvSpPr/>
      </xdr:nvSpPr>
      <xdr:spPr>
        <a:xfrm>
          <a:off x="493568" y="83705"/>
          <a:ext cx="5157932" cy="632114"/>
        </a:xfrm>
        <a:prstGeom prst="roundRect">
          <a:avLst>
            <a:gd name="adj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800" b="1"/>
            <a:t>INGRESO</a:t>
          </a:r>
          <a:r>
            <a:rPr lang="es-EC" sz="2800" b="1" baseline="0"/>
            <a:t> DE DATOS PENDIENTES</a:t>
          </a:r>
          <a:endParaRPr lang="es-EC" sz="2800" b="1"/>
        </a:p>
      </xdr:txBody>
    </xdr:sp>
    <xdr:clientData/>
  </xdr:twoCellAnchor>
  <xdr:twoCellAnchor>
    <xdr:from>
      <xdr:col>0</xdr:col>
      <xdr:colOff>499342</xdr:colOff>
      <xdr:row>4</xdr:row>
      <xdr:rowOff>49066</xdr:rowOff>
    </xdr:from>
    <xdr:to>
      <xdr:col>7</xdr:col>
      <xdr:colOff>490683</xdr:colOff>
      <xdr:row>20</xdr:row>
      <xdr:rowOff>49695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C560CAC-D18D-4E97-9EC5-AC28FA84A931}"/>
            </a:ext>
          </a:extLst>
        </xdr:cNvPr>
        <xdr:cNvSpPr/>
      </xdr:nvSpPr>
      <xdr:spPr>
        <a:xfrm>
          <a:off x="499342" y="811066"/>
          <a:ext cx="7064689" cy="3048629"/>
        </a:xfrm>
        <a:prstGeom prst="roundRect">
          <a:avLst>
            <a:gd name="adj" fmla="val 8360"/>
          </a:avLst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4</xdr:col>
      <xdr:colOff>274831</xdr:colOff>
      <xdr:row>15</xdr:row>
      <xdr:rowOff>160858</xdr:rowOff>
    </xdr:from>
    <xdr:to>
      <xdr:col>5</xdr:col>
      <xdr:colOff>589444</xdr:colOff>
      <xdr:row>19</xdr:row>
      <xdr:rowOff>90782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78B8B326-CB64-4913-A2A5-AFAFDAB0B0F4}"/>
            </a:ext>
          </a:extLst>
        </xdr:cNvPr>
        <xdr:cNvGrpSpPr/>
      </xdr:nvGrpSpPr>
      <xdr:grpSpPr>
        <a:xfrm>
          <a:off x="4979353" y="2976945"/>
          <a:ext cx="1076613" cy="691924"/>
          <a:chOff x="623455" y="2805545"/>
          <a:chExt cx="1076613" cy="669637"/>
        </a:xfrm>
      </xdr:grpSpPr>
      <xdr:sp macro="[0]!borrar.borrar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ECB757D-1724-42B3-B860-B6E22409A9A6}"/>
              </a:ext>
            </a:extLst>
          </xdr:cNvPr>
          <xdr:cNvSpPr/>
        </xdr:nvSpPr>
        <xdr:spPr>
          <a:xfrm>
            <a:off x="623455" y="2811318"/>
            <a:ext cx="1076613" cy="66386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C" sz="1100"/>
              <a:t>Limpiar</a:t>
            </a:r>
          </a:p>
        </xdr:txBody>
      </xdr:sp>
      <xdr:pic macro="[0]!borrar.borrar">
        <xdr:nvPicPr>
          <xdr:cNvPr id="8" name="Gráfico 7" descr="Papel con relleno sólido">
            <a:extLst>
              <a:ext uri="{FF2B5EF4-FFF2-40B4-BE49-F238E27FC236}">
                <a16:creationId xmlns:a16="http://schemas.microsoft.com/office/drawing/2014/main" id="{FC3EE277-EA70-48B2-B871-7B9414C0E0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46726" y="2805545"/>
            <a:ext cx="441615" cy="44161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296141</xdr:colOff>
      <xdr:row>10</xdr:row>
      <xdr:rowOff>138118</xdr:rowOff>
    </xdr:from>
    <xdr:to>
      <xdr:col>5</xdr:col>
      <xdr:colOff>610754</xdr:colOff>
      <xdr:row>14</xdr:row>
      <xdr:rowOff>62269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18B8A732-ACCA-4549-932B-EB3D783A7293}"/>
            </a:ext>
          </a:extLst>
        </xdr:cNvPr>
        <xdr:cNvGrpSpPr/>
      </xdr:nvGrpSpPr>
      <xdr:grpSpPr>
        <a:xfrm>
          <a:off x="5000663" y="2043118"/>
          <a:ext cx="1076613" cy="644738"/>
          <a:chOff x="4466936" y="2836141"/>
          <a:chExt cx="1076613" cy="663864"/>
        </a:xfrm>
      </xdr:grpSpPr>
      <xdr:sp macro="[0]!INGRESODATOS.INGRESODATO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6E78A03A-7AD5-4515-95C8-50E4E6EBCF72}"/>
              </a:ext>
            </a:extLst>
          </xdr:cNvPr>
          <xdr:cNvSpPr/>
        </xdr:nvSpPr>
        <xdr:spPr>
          <a:xfrm>
            <a:off x="4466936" y="2836141"/>
            <a:ext cx="1076613" cy="66386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C" sz="1100"/>
              <a:t>Guardar</a:t>
            </a:r>
          </a:p>
        </xdr:txBody>
      </xdr:sp>
      <xdr:pic macro="[0]!INGRESODATOS.INGRESODATOS">
        <xdr:nvPicPr>
          <xdr:cNvPr id="14" name="Gráfico 13" descr="Disco con relleno sólido">
            <a:extLst>
              <a:ext uri="{FF2B5EF4-FFF2-40B4-BE49-F238E27FC236}">
                <a16:creationId xmlns:a16="http://schemas.microsoft.com/office/drawing/2014/main" id="{9D71C97F-B56C-45CB-8993-1B3989DDF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08681" y="2848841"/>
            <a:ext cx="409286" cy="40928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753717</xdr:colOff>
      <xdr:row>0</xdr:row>
      <xdr:rowOff>82827</xdr:rowOff>
    </xdr:from>
    <xdr:to>
      <xdr:col>17</xdr:col>
      <xdr:colOff>241702</xdr:colOff>
      <xdr:row>3</xdr:row>
      <xdr:rowOff>160759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0826929-B317-4798-9B71-7434E81BD156}"/>
            </a:ext>
          </a:extLst>
        </xdr:cNvPr>
        <xdr:cNvSpPr/>
      </xdr:nvSpPr>
      <xdr:spPr>
        <a:xfrm>
          <a:off x="7827065" y="82827"/>
          <a:ext cx="7190811" cy="649432"/>
        </a:xfrm>
        <a:prstGeom prst="roundRect">
          <a:avLst>
            <a:gd name="adj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2800" b="1"/>
            <a:t>INGRESO</a:t>
          </a:r>
          <a:r>
            <a:rPr lang="es-EC" sz="2800" b="1" baseline="0"/>
            <a:t> DE DATOS DIFERENCIAS</a:t>
          </a:r>
        </a:p>
      </xdr:txBody>
    </xdr:sp>
    <xdr:clientData/>
  </xdr:twoCellAnchor>
  <xdr:twoCellAnchor>
    <xdr:from>
      <xdr:col>7</xdr:col>
      <xdr:colOff>726284</xdr:colOff>
      <xdr:row>4</xdr:row>
      <xdr:rowOff>52379</xdr:rowOff>
    </xdr:from>
    <xdr:to>
      <xdr:col>17</xdr:col>
      <xdr:colOff>170973</xdr:colOff>
      <xdr:row>20</xdr:row>
      <xdr:rowOff>53008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A75A1E4-2630-4FF3-AD91-491ACFC477B1}"/>
            </a:ext>
          </a:extLst>
        </xdr:cNvPr>
        <xdr:cNvSpPr/>
      </xdr:nvSpPr>
      <xdr:spPr>
        <a:xfrm>
          <a:off x="7799632" y="814379"/>
          <a:ext cx="7147515" cy="3048629"/>
        </a:xfrm>
        <a:prstGeom prst="roundRect">
          <a:avLst>
            <a:gd name="adj" fmla="val 8360"/>
          </a:avLst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9</xdr:col>
      <xdr:colOff>546652</xdr:colOff>
      <xdr:row>15</xdr:row>
      <xdr:rowOff>107674</xdr:rowOff>
    </xdr:from>
    <xdr:to>
      <xdr:col>11</xdr:col>
      <xdr:colOff>99265</xdr:colOff>
      <xdr:row>19</xdr:row>
      <xdr:rowOff>31825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9D690703-79F7-4F79-AE97-C354BE1872C3}"/>
            </a:ext>
          </a:extLst>
        </xdr:cNvPr>
        <xdr:cNvGrpSpPr/>
      </xdr:nvGrpSpPr>
      <xdr:grpSpPr>
        <a:xfrm>
          <a:off x="9144000" y="2923761"/>
          <a:ext cx="1076613" cy="686151"/>
          <a:chOff x="4466936" y="2836141"/>
          <a:chExt cx="1076613" cy="663864"/>
        </a:xfrm>
      </xdr:grpSpPr>
      <xdr:sp macro="[0]!GUARDARdiferencias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7162573A-4CB7-D3C8-BE18-3DBB8D94134C}"/>
              </a:ext>
            </a:extLst>
          </xdr:cNvPr>
          <xdr:cNvSpPr/>
        </xdr:nvSpPr>
        <xdr:spPr>
          <a:xfrm>
            <a:off x="4466936" y="2836141"/>
            <a:ext cx="1076613" cy="66386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C" sz="1100"/>
              <a:t>Guardar</a:t>
            </a:r>
          </a:p>
        </xdr:txBody>
      </xdr:sp>
      <xdr:pic macro="[0]!GUARDARdiferencias">
        <xdr:nvPicPr>
          <xdr:cNvPr id="13" name="Gráfico 12" descr="Disco con relleno sólido">
            <a:extLst>
              <a:ext uri="{FF2B5EF4-FFF2-40B4-BE49-F238E27FC236}">
                <a16:creationId xmlns:a16="http://schemas.microsoft.com/office/drawing/2014/main" id="{8E96B40F-3FB7-9308-2ED9-65CEF4937E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08681" y="2848841"/>
            <a:ext cx="409286" cy="40928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720587</xdr:colOff>
      <xdr:row>15</xdr:row>
      <xdr:rowOff>107674</xdr:rowOff>
    </xdr:from>
    <xdr:to>
      <xdr:col>13</xdr:col>
      <xdr:colOff>273200</xdr:colOff>
      <xdr:row>19</xdr:row>
      <xdr:rowOff>37598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85FAD80B-352B-4144-9411-E7820EDEF633}"/>
            </a:ext>
          </a:extLst>
        </xdr:cNvPr>
        <xdr:cNvGrpSpPr/>
      </xdr:nvGrpSpPr>
      <xdr:grpSpPr>
        <a:xfrm>
          <a:off x="10841935" y="2923761"/>
          <a:ext cx="1076613" cy="691924"/>
          <a:chOff x="623455" y="2805545"/>
          <a:chExt cx="1076613" cy="669637"/>
        </a:xfrm>
      </xdr:grpSpPr>
      <xdr:sp macro="[0]!LIMPIARDIFERENCIAS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B0647CBE-5FAD-9E45-A3F9-AF05E726D885}"/>
              </a:ext>
            </a:extLst>
          </xdr:cNvPr>
          <xdr:cNvSpPr/>
        </xdr:nvSpPr>
        <xdr:spPr>
          <a:xfrm>
            <a:off x="623455" y="2811318"/>
            <a:ext cx="1076613" cy="66386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C" sz="1100"/>
              <a:t>Limpiar</a:t>
            </a:r>
          </a:p>
        </xdr:txBody>
      </xdr:sp>
      <xdr:pic macro="[0]!LIMPIARDIFERENCIAS">
        <xdr:nvPicPr>
          <xdr:cNvPr id="18" name="Gráfico 17" descr="Papel con relleno sólido">
            <a:extLst>
              <a:ext uri="{FF2B5EF4-FFF2-40B4-BE49-F238E27FC236}">
                <a16:creationId xmlns:a16="http://schemas.microsoft.com/office/drawing/2014/main" id="{B83E47AE-D267-8518-4B1E-B9973C30FB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46726" y="2805545"/>
            <a:ext cx="441615" cy="4416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1</xdr:row>
          <xdr:rowOff>0</xdr:rowOff>
        </xdr:from>
        <xdr:to>
          <xdr:col>5</xdr:col>
          <xdr:colOff>57150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0394E-C8C5-4ED5-9CDD-AD1E0DFF859B}" name="Tabla2" displayName="Tabla2" ref="B7:M466" totalsRowShown="0" headerRowDxfId="35" dataDxfId="33" headerRowBorderDxfId="34" tableBorderDxfId="32" totalsRowBorderDxfId="31">
  <autoFilter ref="B7:M466" xr:uid="{8460394E-C8C5-4ED5-9CDD-AD1E0DFF859B}">
    <filterColumn colId="0">
      <filters>
        <dateGroupItem year="2026" dateTimeGrouping="year"/>
      </filters>
    </filterColumn>
    <filterColumn colId="1">
      <filters>
        <filter val="CARMELA CARVAJAL"/>
      </filters>
    </filterColumn>
  </autoFilter>
  <sortState xmlns:xlrd2="http://schemas.microsoft.com/office/spreadsheetml/2017/richdata2" ref="B8:J464">
    <sortCondition descending="1" ref="B7:B464"/>
  </sortState>
  <tableColumns count="12">
    <tableColumn id="1" xr3:uid="{5EFE4536-9917-4AC6-BAC1-E3425580DF40}" name="FECHA" dataDxfId="30">
      <calculatedColumnFormula>TODAY()</calculatedColumnFormula>
    </tableColumn>
    <tableColumn id="10" xr3:uid="{A06455A3-5345-442B-8961-84BB676602BF}" name="CENTRO" dataDxfId="29"/>
    <tableColumn id="3" xr3:uid="{5BEB6D93-A511-4214-8B69-2BE9E6E7571F}" name="CODIGO" dataDxfId="28"/>
    <tableColumn id="4" xr3:uid="{6034BE64-00F9-4AC5-88F1-176CA6768FB2}" name="DESCRIPCION" dataDxfId="27"/>
    <tableColumn id="5" xr3:uid="{94F88D94-1E26-4118-B076-13F853BFE783}" name="STOCK" dataDxfId="26"/>
    <tableColumn id="6" xr3:uid="{41B683D8-C3D7-4ED9-AD04-75B7E7B3245D}" name="CONSUMO" dataDxfId="25"/>
    <tableColumn id="7" xr3:uid="{40C5AED2-294C-490B-AE25-2CFBD14FAEB8}" name="PEDIDO" dataDxfId="24"/>
    <tableColumn id="8" xr3:uid="{26BBD34F-13A5-447D-83E8-F20E6137C56E}" name="ENTREGA" dataDxfId="23"/>
    <tableColumn id="9" xr3:uid="{7C49B691-0508-4C9B-A5DE-F2F0D3BFFCD4}" name="PENDIENTE" dataDxfId="22"/>
    <tableColumn id="2" xr3:uid="{71E856B3-97CB-48FF-80A0-70E6443D1D42}" name="CENABAST" dataDxfId="21"/>
    <tableColumn id="11" xr3:uid="{AF30602E-B029-4756-A06B-17FC19FC43AC}" name="OC" dataDxfId="20"/>
    <tableColumn id="12" xr3:uid="{94F52498-7DC3-4CBA-BA09-D8EC8EE21508}" name="P. ESPECIAL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21F9CE-E34C-4C17-A20A-1DABC6097FD1}" name="Tabla4" displayName="Tabla4" ref="A3:I159" totalsRowShown="0" headerRowDxfId="18" headerRowBorderDxfId="17" tableBorderDxfId="16" totalsRowBorderDxfId="15">
  <autoFilter ref="A3:I159" xr:uid="{9521F9CE-E34C-4C17-A20A-1DABC6097FD1}"/>
  <sortState xmlns:xlrd2="http://schemas.microsoft.com/office/spreadsheetml/2017/richdata2" ref="A4:I159">
    <sortCondition descending="1" ref="A3:A159"/>
  </sortState>
  <tableColumns count="9">
    <tableColumn id="1" xr3:uid="{D717731F-C600-47D7-9754-E4B513F6D524}" name="FECHA" dataDxfId="14">
      <calculatedColumnFormula>TODAY()</calculatedColumnFormula>
    </tableColumn>
    <tableColumn id="2" xr3:uid="{B491D748-E0F4-4E6B-91C5-012E9CE7ED27}" name="CENTRO" dataDxfId="13"/>
    <tableColumn id="3" xr3:uid="{DA03DFF9-4970-4852-A2D9-01977FB90D27}" name="COD" dataDxfId="12"/>
    <tableColumn id="4" xr3:uid="{473FEF94-D252-4089-BF26-9D3491D00248}" name="DESCRIPCION" dataDxfId="11"/>
    <tableColumn id="5" xr3:uid="{B6200D23-DCFA-432A-BE66-A0A6061D992E}" name="CANT. PEDIDO" dataDxfId="10"/>
    <tableColumn id="6" xr3:uid="{FBB7D1E3-2D8D-46FA-9A31-2EDDA02A22F8}" name="MOTIVO" dataDxfId="9"/>
    <tableColumn id="9" xr3:uid="{9CAFBDEA-0667-48F2-8851-0FF93645B51F}" name="Funcionarios " dataDxfId="8"/>
    <tableColumn id="7" xr3:uid="{698CD942-FA45-4CF3-9388-379A56FABF11}" name="REVISION" dataDxfId="7"/>
    <tableColumn id="8" xr3:uid="{6E86510C-58C1-4E4B-8AC1-AA393AADB55E}" name="REGULARIZACIO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370A96-D4FC-4384-84C4-A7A223CC3057}" name="Tabla3" displayName="Tabla3" ref="E1:F1048576" totalsRowShown="0" headerRowDxfId="5" headerRowBorderDxfId="4" tableBorderDxfId="3">
  <autoFilter ref="E1:F1048576" xr:uid="{D7370A96-D4FC-4384-84C4-A7A223CC3057}"/>
  <tableColumns count="2">
    <tableColumn id="1" xr3:uid="{6A273181-BB37-4DE1-B07E-805C5D0AD840}" name="999999999"/>
    <tableColumn id="2" xr3:uid="{032428E3-631D-4CD2-8B73-BEC4FAA41379}" name="Artícul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9BA3A9-05A5-4790-A9AC-F4D8D8E5BB6E}" name="Tabla1" displayName="Tabla1" ref="A1:B1048576" totalsRowShown="0" headerRowDxfId="2" headerRowBorderDxfId="1" tableBorderDxfId="0">
  <autoFilter ref="A1:B1048576" xr:uid="{BC9BA3A9-05A5-4790-A9AC-F4D8D8E5BB6E}"/>
  <sortState xmlns:xlrd2="http://schemas.microsoft.com/office/spreadsheetml/2017/richdata2" ref="A2:B1048576">
    <sortCondition ref="A1:A1048576"/>
  </sortState>
  <tableColumns count="2">
    <tableColumn id="1" xr3:uid="{964A03E9-4875-47E0-ABC8-97D9BCF70411}" name="Código"/>
    <tableColumn id="2" xr3:uid="{FCA377C6-12F2-48CD-B7EA-E5E63BEA0664}" name="Artícu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8BA98-CE69-4E9D-8073-CDFD9ACDD852}">
  <sheetPr codeName="Hoja1"/>
  <dimension ref="B6:Q27"/>
  <sheetViews>
    <sheetView showGridLines="0" zoomScale="115" zoomScaleNormal="115" workbookViewId="0">
      <selection activeCell="C19" sqref="C19"/>
    </sheetView>
  </sheetViews>
  <sheetFormatPr baseColWidth="10" defaultRowHeight="15"/>
  <cols>
    <col min="1" max="1" width="7.85546875" customWidth="1"/>
    <col min="3" max="3" width="16.85546875" customWidth="1"/>
    <col min="4" max="4" width="34.42578125" customWidth="1"/>
    <col min="6" max="6" width="12.7109375" bestFit="1" customWidth="1"/>
    <col min="17" max="17" width="12.7109375" customWidth="1"/>
  </cols>
  <sheetData>
    <row r="6" spans="2:17">
      <c r="B6" s="1"/>
      <c r="D6" s="1"/>
      <c r="E6" s="1"/>
      <c r="F6" s="3"/>
    </row>
    <row r="7" spans="2:17">
      <c r="B7" s="1" t="s">
        <v>0</v>
      </c>
      <c r="C7" s="12">
        <v>1227</v>
      </c>
      <c r="D7" s="1"/>
      <c r="E7" s="1" t="s">
        <v>2</v>
      </c>
      <c r="F7" s="11">
        <v>46136</v>
      </c>
      <c r="I7" s="1" t="s">
        <v>0</v>
      </c>
      <c r="J7" s="12">
        <v>449</v>
      </c>
      <c r="P7" s="1" t="s">
        <v>2</v>
      </c>
      <c r="Q7" s="11">
        <v>46134</v>
      </c>
    </row>
    <row r="8" spans="2:17">
      <c r="B8" s="1"/>
      <c r="C8" s="3"/>
      <c r="D8" s="1"/>
      <c r="E8" s="1"/>
      <c r="F8" s="3"/>
    </row>
    <row r="9" spans="2:17">
      <c r="B9" s="1" t="s">
        <v>1</v>
      </c>
      <c r="C9" s="238" t="str">
        <f>VLOOKUP(C7,'HOJA DE INFORMACION SISTEMA'!E:F,2,FALSE)</f>
        <v>FOFAR PLATA NANOCRISTALINA 10X10 CM (X UNIDAD)</v>
      </c>
      <c r="D9" s="238"/>
      <c r="E9" s="1" t="s">
        <v>1201</v>
      </c>
      <c r="F9" s="12" t="s">
        <v>1194</v>
      </c>
      <c r="G9" s="2"/>
      <c r="I9" s="1" t="s">
        <v>1</v>
      </c>
      <c r="J9" s="238" t="str">
        <f>VLOOKUP(J7,'HOJA DE INFORMACION SISTEMA'!E:F,2,FALSE)</f>
        <v>MANGAS DESECHABLES 15 X 200 / UNIDAD</v>
      </c>
      <c r="K9" s="238"/>
      <c r="L9" s="238"/>
      <c r="M9" s="238"/>
      <c r="N9" s="238"/>
      <c r="P9" s="1" t="s">
        <v>1201</v>
      </c>
      <c r="Q9" s="12" t="s">
        <v>1191</v>
      </c>
    </row>
    <row r="10" spans="2:17">
      <c r="B10" s="1"/>
      <c r="C10" s="3"/>
      <c r="D10" s="1"/>
      <c r="E10" s="1"/>
      <c r="F10" s="3"/>
    </row>
    <row r="11" spans="2:17">
      <c r="B11" s="1" t="s">
        <v>4</v>
      </c>
      <c r="C11" s="12">
        <v>0</v>
      </c>
      <c r="D11" s="1"/>
      <c r="I11" s="239" t="s">
        <v>1215</v>
      </c>
      <c r="J11" s="7"/>
      <c r="K11" t="s">
        <v>1253</v>
      </c>
    </row>
    <row r="12" spans="2:17">
      <c r="B12" s="1"/>
      <c r="C12" s="3"/>
      <c r="D12" s="1"/>
      <c r="E12" s="1"/>
      <c r="F12" s="3"/>
      <c r="G12" s="4"/>
      <c r="I12" s="239"/>
      <c r="J12" s="22"/>
      <c r="K12" s="22"/>
      <c r="L12" s="22"/>
      <c r="M12" s="22"/>
    </row>
    <row r="13" spans="2:17" ht="12" customHeight="1">
      <c r="B13" s="1" t="s">
        <v>3</v>
      </c>
      <c r="C13" s="12">
        <v>2</v>
      </c>
      <c r="D13" s="1"/>
      <c r="I13" t="s">
        <v>1213</v>
      </c>
      <c r="J13" s="29" t="s">
        <v>1399</v>
      </c>
      <c r="L13" s="27"/>
      <c r="M13" s="27"/>
      <c r="N13" s="27"/>
      <c r="O13" s="28"/>
    </row>
    <row r="14" spans="2:17">
      <c r="B14" s="1"/>
      <c r="C14" s="1"/>
      <c r="D14" s="1"/>
      <c r="E14" s="1"/>
      <c r="F14" s="3"/>
      <c r="J14" s="29"/>
      <c r="K14" s="30"/>
      <c r="L14" s="30"/>
      <c r="M14" s="30"/>
      <c r="N14" s="30"/>
      <c r="O14" s="31"/>
    </row>
    <row r="15" spans="2:17">
      <c r="B15" s="1" t="s">
        <v>1199</v>
      </c>
      <c r="C15" s="12">
        <v>2</v>
      </c>
      <c r="D15" s="1"/>
      <c r="J15" s="32"/>
      <c r="K15" s="33"/>
      <c r="L15" s="33"/>
      <c r="M15" s="33"/>
      <c r="N15" s="33"/>
      <c r="O15" s="34"/>
    </row>
    <row r="17" spans="2:9">
      <c r="B17" s="1" t="s">
        <v>1200</v>
      </c>
      <c r="C17" s="12">
        <v>0</v>
      </c>
    </row>
    <row r="19" spans="2:9">
      <c r="B19" s="188" t="s">
        <v>5</v>
      </c>
      <c r="C19" s="189">
        <f>(C15)-(C17)</f>
        <v>2</v>
      </c>
      <c r="D19" s="190" t="s">
        <v>1212</v>
      </c>
    </row>
    <row r="22" spans="2:9" ht="15.75" thickBot="1"/>
    <row r="23" spans="2:9">
      <c r="C23" s="13"/>
      <c r="D23" s="14"/>
      <c r="E23" s="14"/>
      <c r="F23" s="14"/>
      <c r="G23" s="14"/>
      <c r="H23" s="14"/>
      <c r="I23" s="15"/>
    </row>
    <row r="24" spans="2:9">
      <c r="C24" s="16"/>
      <c r="I24" s="17"/>
    </row>
    <row r="25" spans="2:9" ht="21">
      <c r="C25" s="16"/>
      <c r="D25" s="18"/>
      <c r="E25" s="18"/>
      <c r="F25" s="18"/>
      <c r="I25" s="17"/>
    </row>
    <row r="26" spans="2:9">
      <c r="C26" s="16"/>
      <c r="I26" s="17"/>
    </row>
    <row r="27" spans="2:9" ht="15.75" thickBot="1">
      <c r="C27" s="19"/>
      <c r="D27" s="20"/>
      <c r="E27" s="20"/>
      <c r="F27" s="20"/>
      <c r="G27" s="20"/>
      <c r="H27" s="20"/>
      <c r="I27" s="21"/>
    </row>
  </sheetData>
  <mergeCells count="3">
    <mergeCell ref="C9:D9"/>
    <mergeCell ref="J9:N9"/>
    <mergeCell ref="I11:I12"/>
  </mergeCells>
  <dataValidations count="2">
    <dataValidation type="date" allowBlank="1" showInputMessage="1" showErrorMessage="1" sqref="F7 Q7" xr:uid="{C07D51E8-94DF-4A06-BED7-3CB59CB8476B}">
      <formula1>29221</formula1>
      <formula2>398117</formula2>
    </dataValidation>
    <dataValidation operator="greaterThanOrEqual" allowBlank="1" showInputMessage="1" showErrorMessage="1" sqref="C11" xr:uid="{F7D1ED0E-ADE9-484E-BDC5-671ED7A2A583}"/>
  </dataValidations>
  <pageMargins left="0.7" right="0.7" top="0.75" bottom="0.75" header="0.3" footer="0.3"/>
  <pageSetup paperSize="281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B20450-F77D-4A71-9775-D19331D52A11}">
          <x14:formula1>
            <xm:f>'HOJA DE INFORMACION SISTEMA'!$A$2:$A$20</xm:f>
          </x14:formula1>
          <xm:sqref>F9 Q9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248D-B8D9-47F6-B38E-3F57E5727182}">
  <sheetPr codeName="Hoja2">
    <pageSetUpPr fitToPage="1"/>
  </sheetPr>
  <dimension ref="A3:P534"/>
  <sheetViews>
    <sheetView tabSelected="1" topLeftCell="A4" zoomScale="115" zoomScaleNormal="115" workbookViewId="0">
      <selection activeCell="A114" sqref="A114:XFD114"/>
    </sheetView>
  </sheetViews>
  <sheetFormatPr baseColWidth="10" defaultColWidth="11.5703125" defaultRowHeight="15"/>
  <cols>
    <col min="1" max="1" width="3.140625" style="56" customWidth="1"/>
    <col min="2" max="2" width="11.5703125" style="55"/>
    <col min="3" max="3" width="19.5703125" style="56" bestFit="1" customWidth="1"/>
    <col min="4" max="4" width="11.5703125" style="56"/>
    <col min="5" max="5" width="50.5703125" style="56" customWidth="1"/>
    <col min="6" max="6" width="11.7109375" style="56" bestFit="1" customWidth="1"/>
    <col min="7" max="7" width="19.85546875" style="56" customWidth="1"/>
    <col min="8" max="8" width="17" style="56" bestFit="1" customWidth="1"/>
    <col min="9" max="10" width="11.5703125" style="56"/>
    <col min="11" max="11" width="10.42578125" style="56" customWidth="1"/>
    <col min="12" max="12" width="10.28515625" style="56" customWidth="1"/>
    <col min="13" max="13" width="9.85546875" style="56" customWidth="1"/>
    <col min="14" max="14" width="16.42578125" style="56" customWidth="1"/>
    <col min="15" max="16384" width="11.5703125" style="56"/>
  </cols>
  <sheetData>
    <row r="3" spans="1:14" ht="26.25">
      <c r="B3" s="54" t="s">
        <v>1211</v>
      </c>
    </row>
    <row r="4" spans="1:14" ht="15.75" thickBot="1">
      <c r="B4" s="76"/>
      <c r="C4" s="77"/>
      <c r="D4" s="77"/>
      <c r="E4" s="77"/>
      <c r="F4" s="77"/>
      <c r="G4" s="77"/>
      <c r="H4" s="77"/>
      <c r="I4" s="77"/>
      <c r="J4" s="77"/>
      <c r="K4" s="77"/>
      <c r="L4" s="77"/>
    </row>
    <row r="5" spans="1:14" ht="21">
      <c r="A5" s="74"/>
      <c r="B5" s="80"/>
      <c r="C5" s="81"/>
      <c r="D5" s="81"/>
      <c r="E5" s="82" t="s">
        <v>1208</v>
      </c>
      <c r="F5" s="81"/>
      <c r="G5" s="81"/>
      <c r="H5" s="83">
        <f ca="1">TODAY()</f>
        <v>46146</v>
      </c>
      <c r="I5" s="84"/>
      <c r="J5" s="81"/>
      <c r="K5" s="81"/>
      <c r="L5" s="85"/>
      <c r="M5" s="75"/>
    </row>
    <row r="6" spans="1:14">
      <c r="A6" s="74"/>
      <c r="B6" s="86"/>
      <c r="C6" s="72"/>
      <c r="D6" s="72"/>
      <c r="E6" s="72"/>
      <c r="F6" s="72"/>
      <c r="G6" s="72"/>
      <c r="H6" s="72"/>
      <c r="I6" s="72"/>
      <c r="J6" s="72"/>
      <c r="K6" s="72"/>
      <c r="L6" s="87"/>
      <c r="M6" s="75"/>
    </row>
    <row r="7" spans="1:14">
      <c r="A7" s="74"/>
      <c r="B7" s="88" t="s">
        <v>1206</v>
      </c>
      <c r="C7" s="58" t="s">
        <v>1201</v>
      </c>
      <c r="D7" s="58" t="s">
        <v>1205</v>
      </c>
      <c r="E7" s="58" t="s">
        <v>1203</v>
      </c>
      <c r="F7" s="58" t="s">
        <v>1202</v>
      </c>
      <c r="G7" s="58" t="s">
        <v>1204</v>
      </c>
      <c r="H7" s="58" t="s">
        <v>1199</v>
      </c>
      <c r="I7" s="58" t="s">
        <v>1200</v>
      </c>
      <c r="J7" s="58" t="s">
        <v>1207</v>
      </c>
      <c r="K7" s="67" t="s">
        <v>1357</v>
      </c>
      <c r="L7" s="89" t="s">
        <v>1358</v>
      </c>
      <c r="M7" s="67" t="s">
        <v>1359</v>
      </c>
      <c r="N7" s="56" t="s">
        <v>1360</v>
      </c>
    </row>
    <row r="8" spans="1:14" hidden="1">
      <c r="A8" s="74"/>
      <c r="B8" s="88">
        <f ca="1">TODAY()</f>
        <v>46146</v>
      </c>
      <c r="C8" s="58"/>
      <c r="D8" s="58"/>
      <c r="E8" s="58"/>
      <c r="F8" s="58"/>
      <c r="G8" s="58"/>
      <c r="H8" s="58"/>
      <c r="I8" s="58"/>
      <c r="J8" s="58"/>
      <c r="K8" s="67"/>
      <c r="L8" s="89"/>
      <c r="M8" s="67"/>
    </row>
    <row r="9" spans="1:14" hidden="1">
      <c r="A9" s="74"/>
      <c r="B9" s="88">
        <v>46136</v>
      </c>
      <c r="C9" s="58" t="s">
        <v>1194</v>
      </c>
      <c r="D9" s="12">
        <v>1227</v>
      </c>
      <c r="E9" s="58" t="s">
        <v>571</v>
      </c>
      <c r="F9" s="12">
        <v>0</v>
      </c>
      <c r="G9" s="12">
        <v>2</v>
      </c>
      <c r="H9" s="12">
        <v>2</v>
      </c>
      <c r="I9" s="12">
        <v>0</v>
      </c>
      <c r="J9" s="58">
        <v>2</v>
      </c>
      <c r="K9" s="67"/>
      <c r="L9" s="89"/>
      <c r="M9" s="67"/>
    </row>
    <row r="10" spans="1:14" hidden="1">
      <c r="A10" s="74"/>
      <c r="B10" s="88">
        <v>46136</v>
      </c>
      <c r="C10" s="58" t="s">
        <v>1194</v>
      </c>
      <c r="D10" s="12">
        <v>798</v>
      </c>
      <c r="E10" s="58" t="s">
        <v>559</v>
      </c>
      <c r="F10" s="12">
        <v>25</v>
      </c>
      <c r="G10" s="12">
        <v>100</v>
      </c>
      <c r="H10" s="12">
        <v>75</v>
      </c>
      <c r="I10" s="12">
        <v>0</v>
      </c>
      <c r="J10" s="58">
        <v>75</v>
      </c>
      <c r="K10" s="67"/>
      <c r="L10" s="89"/>
      <c r="M10" s="67"/>
    </row>
    <row r="11" spans="1:14" hidden="1">
      <c r="A11" s="74"/>
      <c r="B11" s="88">
        <v>46136</v>
      </c>
      <c r="C11" s="58" t="s">
        <v>1194</v>
      </c>
      <c r="D11" s="12">
        <v>1213</v>
      </c>
      <c r="E11" s="58" t="s">
        <v>557</v>
      </c>
      <c r="F11" s="12">
        <v>0</v>
      </c>
      <c r="G11" s="12">
        <v>20</v>
      </c>
      <c r="H11" s="12">
        <v>20</v>
      </c>
      <c r="I11" s="12">
        <v>0</v>
      </c>
      <c r="J11" s="58">
        <v>20</v>
      </c>
      <c r="K11" s="67"/>
      <c r="L11" s="89"/>
      <c r="M11" s="67"/>
    </row>
    <row r="12" spans="1:14" hidden="1">
      <c r="A12" s="74"/>
      <c r="B12" s="88">
        <v>46136</v>
      </c>
      <c r="C12" s="58" t="s">
        <v>1194</v>
      </c>
      <c r="D12" s="12">
        <v>1227</v>
      </c>
      <c r="E12" s="58" t="s">
        <v>571</v>
      </c>
      <c r="F12" s="12">
        <v>1</v>
      </c>
      <c r="G12" s="12">
        <v>2</v>
      </c>
      <c r="H12" s="12">
        <v>1</v>
      </c>
      <c r="I12" s="12">
        <v>0</v>
      </c>
      <c r="J12" s="58">
        <v>1</v>
      </c>
      <c r="K12" s="67"/>
      <c r="L12" s="89"/>
      <c r="M12" s="67"/>
    </row>
    <row r="13" spans="1:14" hidden="1">
      <c r="A13" s="74"/>
      <c r="B13" s="88">
        <v>46136</v>
      </c>
      <c r="C13" s="58" t="s">
        <v>1196</v>
      </c>
      <c r="D13" s="12">
        <v>608</v>
      </c>
      <c r="E13" s="58" t="s">
        <v>848</v>
      </c>
      <c r="F13" s="12">
        <v>4</v>
      </c>
      <c r="G13" s="12">
        <v>16</v>
      </c>
      <c r="H13" s="12">
        <v>15</v>
      </c>
      <c r="I13" s="12">
        <v>10</v>
      </c>
      <c r="J13" s="58">
        <v>5</v>
      </c>
      <c r="K13" s="67"/>
      <c r="L13" s="89"/>
      <c r="M13" s="67"/>
    </row>
    <row r="14" spans="1:14" hidden="1">
      <c r="A14" s="74"/>
      <c r="B14" s="88">
        <v>46136</v>
      </c>
      <c r="C14" s="58" t="s">
        <v>1195</v>
      </c>
      <c r="D14" s="12">
        <v>266</v>
      </c>
      <c r="E14" s="58" t="s">
        <v>661</v>
      </c>
      <c r="F14" s="12">
        <v>1600</v>
      </c>
      <c r="G14" s="12">
        <v>6000</v>
      </c>
      <c r="H14" s="12">
        <v>2000</v>
      </c>
      <c r="I14" s="12">
        <v>0</v>
      </c>
      <c r="J14" s="58">
        <v>2000</v>
      </c>
      <c r="K14" s="67"/>
      <c r="L14" s="89"/>
      <c r="M14" s="67"/>
    </row>
    <row r="15" spans="1:14" hidden="1">
      <c r="A15" s="74"/>
      <c r="B15" s="88">
        <v>46136</v>
      </c>
      <c r="C15" s="58" t="s">
        <v>1193</v>
      </c>
      <c r="D15" s="12">
        <v>318</v>
      </c>
      <c r="E15" s="58" t="s">
        <v>1060</v>
      </c>
      <c r="F15" s="12">
        <v>2</v>
      </c>
      <c r="G15" s="12">
        <v>2</v>
      </c>
      <c r="H15" s="12">
        <v>4</v>
      </c>
      <c r="I15" s="12">
        <v>0</v>
      </c>
      <c r="J15" s="58">
        <v>4</v>
      </c>
      <c r="K15" s="67"/>
      <c r="L15" s="89"/>
      <c r="M15" s="67"/>
    </row>
    <row r="16" spans="1:14" hidden="1">
      <c r="A16" s="74"/>
      <c r="B16" s="88">
        <v>46136</v>
      </c>
      <c r="C16" s="58" t="s">
        <v>1193</v>
      </c>
      <c r="D16" s="12">
        <v>1416</v>
      </c>
      <c r="E16" s="58" t="s">
        <v>993</v>
      </c>
      <c r="F16" s="12">
        <v>0</v>
      </c>
      <c r="G16" s="12">
        <v>1</v>
      </c>
      <c r="H16" s="12">
        <v>2</v>
      </c>
      <c r="I16" s="12">
        <v>0</v>
      </c>
      <c r="J16" s="58">
        <v>2</v>
      </c>
      <c r="K16" s="67"/>
      <c r="L16" s="89"/>
      <c r="M16" s="67"/>
    </row>
    <row r="17" spans="1:13" hidden="1">
      <c r="A17" s="74"/>
      <c r="B17" s="88">
        <v>46136</v>
      </c>
      <c r="C17" s="58" t="s">
        <v>1193</v>
      </c>
      <c r="D17" s="12">
        <v>1415</v>
      </c>
      <c r="E17" s="58" t="s">
        <v>992</v>
      </c>
      <c r="F17" s="12">
        <v>0</v>
      </c>
      <c r="G17" s="12">
        <v>1</v>
      </c>
      <c r="H17" s="12">
        <v>2</v>
      </c>
      <c r="I17" s="12">
        <v>0</v>
      </c>
      <c r="J17" s="58">
        <v>2</v>
      </c>
      <c r="K17" s="67"/>
      <c r="L17" s="89"/>
      <c r="M17" s="67"/>
    </row>
    <row r="18" spans="1:13" hidden="1">
      <c r="A18" s="74"/>
      <c r="B18" s="88">
        <v>46136</v>
      </c>
      <c r="C18" s="58" t="s">
        <v>1193</v>
      </c>
      <c r="D18" s="12">
        <v>216</v>
      </c>
      <c r="E18" s="58" t="s">
        <v>92</v>
      </c>
      <c r="F18" s="12">
        <v>23</v>
      </c>
      <c r="G18" s="12">
        <v>17</v>
      </c>
      <c r="H18" s="12">
        <v>6</v>
      </c>
      <c r="I18" s="12">
        <v>0</v>
      </c>
      <c r="J18" s="58">
        <v>6</v>
      </c>
      <c r="K18" s="67"/>
      <c r="L18" s="89"/>
      <c r="M18" s="67"/>
    </row>
    <row r="19" spans="1:13" hidden="1">
      <c r="A19" s="74"/>
      <c r="B19" s="88">
        <v>46135</v>
      </c>
      <c r="C19" s="58" t="s">
        <v>1194</v>
      </c>
      <c r="D19" s="12">
        <v>1540</v>
      </c>
      <c r="E19" s="58" t="s">
        <v>556</v>
      </c>
      <c r="F19" s="12">
        <v>0</v>
      </c>
      <c r="G19" s="12">
        <v>2</v>
      </c>
      <c r="H19" s="12">
        <v>2</v>
      </c>
      <c r="I19" s="12">
        <v>0</v>
      </c>
      <c r="J19" s="58">
        <v>2</v>
      </c>
      <c r="K19" s="67"/>
      <c r="L19" s="89"/>
      <c r="M19" s="67"/>
    </row>
    <row r="20" spans="1:13" hidden="1">
      <c r="A20" s="74"/>
      <c r="B20" s="88">
        <v>46135</v>
      </c>
      <c r="C20" s="58" t="s">
        <v>1194</v>
      </c>
      <c r="D20" s="12">
        <v>798</v>
      </c>
      <c r="E20" s="58" t="s">
        <v>559</v>
      </c>
      <c r="F20" s="12">
        <v>0</v>
      </c>
      <c r="G20" s="12">
        <v>40</v>
      </c>
      <c r="H20" s="12">
        <v>40</v>
      </c>
      <c r="I20" s="12">
        <v>25</v>
      </c>
      <c r="J20" s="58">
        <v>15</v>
      </c>
      <c r="K20" s="67"/>
      <c r="L20" s="89"/>
      <c r="M20" s="67"/>
    </row>
    <row r="21" spans="1:13" hidden="1">
      <c r="A21" s="74"/>
      <c r="B21" s="88">
        <v>46135</v>
      </c>
      <c r="C21" s="58" t="s">
        <v>1194</v>
      </c>
      <c r="D21" s="12">
        <v>1213</v>
      </c>
      <c r="E21" s="58" t="s">
        <v>557</v>
      </c>
      <c r="F21" s="12">
        <v>0</v>
      </c>
      <c r="G21" s="12">
        <v>5</v>
      </c>
      <c r="H21" s="12">
        <v>5</v>
      </c>
      <c r="I21" s="12">
        <v>0</v>
      </c>
      <c r="J21" s="58">
        <v>5</v>
      </c>
      <c r="K21" s="67"/>
      <c r="L21" s="89"/>
      <c r="M21" s="67"/>
    </row>
    <row r="22" spans="1:13" hidden="1">
      <c r="A22" s="74"/>
      <c r="B22" s="88">
        <v>46135</v>
      </c>
      <c r="C22" s="58" t="s">
        <v>1194</v>
      </c>
      <c r="D22" s="12">
        <v>1213</v>
      </c>
      <c r="E22" s="58" t="s">
        <v>557</v>
      </c>
      <c r="F22" s="12">
        <v>0</v>
      </c>
      <c r="G22" s="12">
        <v>5</v>
      </c>
      <c r="H22" s="12">
        <v>5</v>
      </c>
      <c r="I22" s="12">
        <v>0</v>
      </c>
      <c r="J22" s="58">
        <v>5</v>
      </c>
      <c r="K22" s="67"/>
      <c r="L22" s="89"/>
      <c r="M22" s="67"/>
    </row>
    <row r="23" spans="1:13" hidden="1">
      <c r="A23" s="74"/>
      <c r="B23" s="88">
        <v>46135</v>
      </c>
      <c r="C23" s="58" t="s">
        <v>1194</v>
      </c>
      <c r="D23" s="12">
        <v>1227</v>
      </c>
      <c r="E23" s="58" t="s">
        <v>571</v>
      </c>
      <c r="F23" s="12">
        <v>0</v>
      </c>
      <c r="G23" s="12">
        <v>2</v>
      </c>
      <c r="H23" s="12">
        <v>2</v>
      </c>
      <c r="I23" s="12">
        <v>0</v>
      </c>
      <c r="J23" s="58">
        <v>0</v>
      </c>
      <c r="K23" s="67"/>
      <c r="L23" s="89"/>
      <c r="M23" s="67"/>
    </row>
    <row r="24" spans="1:13" hidden="1">
      <c r="A24" s="74"/>
      <c r="B24" s="88">
        <v>46135</v>
      </c>
      <c r="C24" s="58" t="s">
        <v>1194</v>
      </c>
      <c r="D24" s="12">
        <v>1213</v>
      </c>
      <c r="E24" s="58" t="s">
        <v>557</v>
      </c>
      <c r="F24" s="12">
        <v>8</v>
      </c>
      <c r="G24" s="12">
        <v>10</v>
      </c>
      <c r="H24" s="12">
        <v>2</v>
      </c>
      <c r="I24" s="12">
        <v>0</v>
      </c>
      <c r="J24" s="58">
        <v>1</v>
      </c>
      <c r="K24" s="67"/>
      <c r="L24" s="89"/>
      <c r="M24" s="67"/>
    </row>
    <row r="25" spans="1:13" hidden="1">
      <c r="A25" s="74"/>
      <c r="B25" s="88">
        <v>46135</v>
      </c>
      <c r="C25" s="58" t="s">
        <v>1194</v>
      </c>
      <c r="D25" s="12">
        <v>1540</v>
      </c>
      <c r="E25" s="58" t="s">
        <v>556</v>
      </c>
      <c r="F25" s="12">
        <v>0</v>
      </c>
      <c r="G25" s="12">
        <v>2</v>
      </c>
      <c r="H25" s="12">
        <v>2</v>
      </c>
      <c r="I25" s="12">
        <v>0</v>
      </c>
      <c r="J25" s="58">
        <v>2</v>
      </c>
      <c r="K25" s="67"/>
      <c r="L25" s="89"/>
      <c r="M25" s="67"/>
    </row>
    <row r="26" spans="1:13" hidden="1">
      <c r="A26" s="74"/>
      <c r="B26" s="88">
        <v>46135</v>
      </c>
      <c r="C26" s="58" t="s">
        <v>1194</v>
      </c>
      <c r="D26" s="12">
        <v>798</v>
      </c>
      <c r="E26" s="58" t="s">
        <v>559</v>
      </c>
      <c r="F26" s="12">
        <v>0</v>
      </c>
      <c r="G26" s="12">
        <v>120</v>
      </c>
      <c r="H26" s="12">
        <v>120</v>
      </c>
      <c r="I26" s="12">
        <v>25</v>
      </c>
      <c r="J26" s="58">
        <v>95</v>
      </c>
      <c r="K26" s="67"/>
      <c r="L26" s="89"/>
      <c r="M26" s="67"/>
    </row>
    <row r="27" spans="1:13" hidden="1">
      <c r="A27" s="74"/>
      <c r="B27" s="88">
        <v>46135</v>
      </c>
      <c r="C27" s="58" t="s">
        <v>1194</v>
      </c>
      <c r="D27" s="12">
        <v>1213</v>
      </c>
      <c r="E27" s="58" t="s">
        <v>557</v>
      </c>
      <c r="F27" s="12">
        <v>8</v>
      </c>
      <c r="G27" s="12">
        <v>10</v>
      </c>
      <c r="H27" s="12">
        <v>2</v>
      </c>
      <c r="I27" s="12">
        <v>0</v>
      </c>
      <c r="J27" s="58">
        <v>1</v>
      </c>
      <c r="K27" s="67"/>
      <c r="L27" s="89"/>
      <c r="M27" s="67"/>
    </row>
    <row r="28" spans="1:13" hidden="1">
      <c r="A28" s="74"/>
      <c r="B28" s="88">
        <v>46135</v>
      </c>
      <c r="C28" s="58" t="s">
        <v>1194</v>
      </c>
      <c r="D28" s="12">
        <v>1227</v>
      </c>
      <c r="E28" s="58" t="s">
        <v>571</v>
      </c>
      <c r="F28" s="12">
        <v>3</v>
      </c>
      <c r="G28" s="12">
        <v>4</v>
      </c>
      <c r="H28" s="12">
        <v>1</v>
      </c>
      <c r="I28" s="12">
        <v>0</v>
      </c>
      <c r="J28" s="58">
        <v>1</v>
      </c>
      <c r="K28" s="67"/>
      <c r="L28" s="89"/>
      <c r="M28" s="67"/>
    </row>
    <row r="29" spans="1:13" hidden="1">
      <c r="A29" s="74"/>
      <c r="B29" s="88">
        <v>46134</v>
      </c>
      <c r="C29" s="58" t="s">
        <v>1191</v>
      </c>
      <c r="D29" s="12">
        <v>22898</v>
      </c>
      <c r="E29" s="58" t="s">
        <v>1087</v>
      </c>
      <c r="F29" s="12">
        <v>1</v>
      </c>
      <c r="G29" s="12">
        <v>3</v>
      </c>
      <c r="H29" s="12">
        <v>5</v>
      </c>
      <c r="I29" s="12">
        <v>0</v>
      </c>
      <c r="J29" s="58">
        <v>5</v>
      </c>
      <c r="K29" s="67"/>
      <c r="L29" s="89"/>
      <c r="M29" s="67"/>
    </row>
    <row r="30" spans="1:13" hidden="1">
      <c r="A30" s="74"/>
      <c r="B30" s="88">
        <v>46134</v>
      </c>
      <c r="C30" s="58" t="s">
        <v>1191</v>
      </c>
      <c r="D30" s="12">
        <v>22593</v>
      </c>
      <c r="E30" s="58" t="s">
        <v>1080</v>
      </c>
      <c r="F30" s="12">
        <v>0</v>
      </c>
      <c r="G30" s="12">
        <v>4</v>
      </c>
      <c r="H30" s="12">
        <v>10</v>
      </c>
      <c r="I30" s="12">
        <v>0</v>
      </c>
      <c r="J30" s="58">
        <v>10</v>
      </c>
      <c r="K30" s="67"/>
      <c r="L30" s="89"/>
      <c r="M30" s="67"/>
    </row>
    <row r="31" spans="1:13" hidden="1">
      <c r="A31" s="74"/>
      <c r="B31" s="88">
        <v>46134</v>
      </c>
      <c r="C31" s="58" t="s">
        <v>1191</v>
      </c>
      <c r="D31" s="12">
        <v>1161</v>
      </c>
      <c r="E31" s="58" t="s">
        <v>996</v>
      </c>
      <c r="F31" s="12">
        <v>5</v>
      </c>
      <c r="G31" s="12">
        <v>25</v>
      </c>
      <c r="H31" s="12">
        <v>40</v>
      </c>
      <c r="I31" s="12">
        <v>28</v>
      </c>
      <c r="J31" s="58">
        <v>12</v>
      </c>
      <c r="K31" s="67"/>
      <c r="L31" s="89"/>
      <c r="M31" s="67"/>
    </row>
    <row r="32" spans="1:13" hidden="1">
      <c r="A32" s="74"/>
      <c r="B32" s="88">
        <v>46134</v>
      </c>
      <c r="C32" s="58" t="s">
        <v>1191</v>
      </c>
      <c r="D32" s="12">
        <v>273</v>
      </c>
      <c r="E32" s="58" t="s">
        <v>689</v>
      </c>
      <c r="F32" s="12">
        <v>0</v>
      </c>
      <c r="G32" s="12">
        <v>200</v>
      </c>
      <c r="H32" s="12">
        <v>300</v>
      </c>
      <c r="I32" s="12">
        <v>100</v>
      </c>
      <c r="J32" s="58">
        <v>200</v>
      </c>
      <c r="K32" s="67"/>
      <c r="L32" s="89"/>
      <c r="M32" s="67"/>
    </row>
    <row r="33" spans="1:14" hidden="1">
      <c r="A33" s="74"/>
      <c r="B33" s="88">
        <v>46134</v>
      </c>
      <c r="C33" s="58" t="s">
        <v>1191</v>
      </c>
      <c r="D33" s="12">
        <v>252</v>
      </c>
      <c r="E33" s="58" t="s">
        <v>489</v>
      </c>
      <c r="F33" s="12">
        <v>10</v>
      </c>
      <c r="G33" s="12">
        <v>11</v>
      </c>
      <c r="H33" s="12">
        <v>6</v>
      </c>
      <c r="I33" s="12">
        <v>0</v>
      </c>
      <c r="J33" s="58">
        <v>6</v>
      </c>
      <c r="K33" s="67"/>
      <c r="L33" s="89"/>
      <c r="M33" s="67"/>
    </row>
    <row r="34" spans="1:14" hidden="1">
      <c r="A34" s="74"/>
      <c r="B34" s="88">
        <v>46134</v>
      </c>
      <c r="C34" s="58" t="s">
        <v>1191</v>
      </c>
      <c r="D34" s="12">
        <v>2205</v>
      </c>
      <c r="E34" s="58" t="s">
        <v>384</v>
      </c>
      <c r="F34" s="12">
        <v>0</v>
      </c>
      <c r="G34" s="12">
        <v>1</v>
      </c>
      <c r="H34" s="12">
        <v>3</v>
      </c>
      <c r="I34" s="12">
        <v>0</v>
      </c>
      <c r="J34" s="58">
        <v>3</v>
      </c>
      <c r="K34" s="67"/>
      <c r="L34" s="89"/>
      <c r="M34" s="67"/>
    </row>
    <row r="35" spans="1:14" hidden="1">
      <c r="A35" s="74"/>
      <c r="B35" s="88">
        <v>46133</v>
      </c>
      <c r="C35" s="58" t="s">
        <v>1191</v>
      </c>
      <c r="D35" s="12">
        <v>915</v>
      </c>
      <c r="E35" s="58" t="s">
        <v>537</v>
      </c>
      <c r="F35" s="12">
        <v>1200</v>
      </c>
      <c r="G35" s="12">
        <v>1227</v>
      </c>
      <c r="H35" s="12">
        <v>885</v>
      </c>
      <c r="I35" s="12">
        <v>0</v>
      </c>
      <c r="J35" s="58">
        <v>885</v>
      </c>
      <c r="K35" s="67"/>
      <c r="L35" s="89"/>
      <c r="M35" s="67"/>
    </row>
    <row r="36" spans="1:14" hidden="1">
      <c r="A36" s="74"/>
      <c r="B36" s="88">
        <v>46132</v>
      </c>
      <c r="C36" s="58" t="s">
        <v>1189</v>
      </c>
      <c r="D36" s="12">
        <v>273</v>
      </c>
      <c r="E36" s="58" t="s">
        <v>689</v>
      </c>
      <c r="F36" s="12">
        <v>100</v>
      </c>
      <c r="G36" s="12">
        <v>200</v>
      </c>
      <c r="H36" s="12">
        <v>300</v>
      </c>
      <c r="I36" s="12">
        <v>100</v>
      </c>
      <c r="J36" s="58">
        <v>200</v>
      </c>
      <c r="K36" s="67"/>
      <c r="L36" s="89"/>
      <c r="M36" s="67"/>
    </row>
    <row r="37" spans="1:14" hidden="1">
      <c r="A37" s="74"/>
      <c r="B37" s="88">
        <v>46132</v>
      </c>
      <c r="C37" s="58" t="s">
        <v>1189</v>
      </c>
      <c r="D37" s="12">
        <v>1069</v>
      </c>
      <c r="E37" s="58" t="s">
        <v>670</v>
      </c>
      <c r="F37" s="12">
        <v>50</v>
      </c>
      <c r="G37" s="12">
        <v>100</v>
      </c>
      <c r="H37" s="12">
        <v>150</v>
      </c>
      <c r="I37" s="12">
        <v>50</v>
      </c>
      <c r="J37" s="58">
        <v>100</v>
      </c>
      <c r="K37" s="67"/>
      <c r="L37" s="89"/>
      <c r="M37" s="67"/>
    </row>
    <row r="38" spans="1:14" hidden="1">
      <c r="A38" s="74"/>
      <c r="B38" s="88">
        <v>46132</v>
      </c>
      <c r="C38" s="58" t="s">
        <v>1189</v>
      </c>
      <c r="D38" s="12">
        <v>266</v>
      </c>
      <c r="E38" s="58" t="s">
        <v>661</v>
      </c>
      <c r="F38" s="12">
        <v>0</v>
      </c>
      <c r="G38" s="12">
        <v>1000</v>
      </c>
      <c r="H38" s="12">
        <v>2000</v>
      </c>
      <c r="I38" s="12">
        <v>0</v>
      </c>
      <c r="J38" s="58">
        <v>2000</v>
      </c>
      <c r="K38" s="67"/>
      <c r="L38" s="89"/>
      <c r="M38" s="67"/>
    </row>
    <row r="39" spans="1:14" hidden="1">
      <c r="A39" s="74"/>
      <c r="B39" s="88">
        <v>46132</v>
      </c>
      <c r="C39" s="58" t="s">
        <v>1189</v>
      </c>
      <c r="D39" s="12">
        <v>252</v>
      </c>
      <c r="E39" s="58" t="s">
        <v>489</v>
      </c>
      <c r="F39" s="12">
        <v>40</v>
      </c>
      <c r="G39" s="12">
        <v>30</v>
      </c>
      <c r="H39" s="12">
        <v>20</v>
      </c>
      <c r="I39" s="12">
        <v>0</v>
      </c>
      <c r="J39" s="58">
        <v>20</v>
      </c>
      <c r="K39" s="67"/>
      <c r="L39" s="89"/>
      <c r="M39" s="67"/>
    </row>
    <row r="40" spans="1:14" hidden="1">
      <c r="A40" s="74"/>
      <c r="B40" s="88">
        <v>46132</v>
      </c>
      <c r="C40" s="58" t="s">
        <v>1189</v>
      </c>
      <c r="D40" s="12">
        <v>1010</v>
      </c>
      <c r="E40" s="58" t="s">
        <v>1002</v>
      </c>
      <c r="F40" s="12">
        <v>7</v>
      </c>
      <c r="G40" s="12">
        <v>10</v>
      </c>
      <c r="H40" s="12">
        <v>20</v>
      </c>
      <c r="I40" s="12">
        <v>0</v>
      </c>
      <c r="J40" s="58">
        <v>20</v>
      </c>
      <c r="K40" s="67"/>
      <c r="L40" s="89"/>
      <c r="M40" s="67"/>
    </row>
    <row r="41" spans="1:14" hidden="1">
      <c r="A41" s="74"/>
      <c r="B41" s="88">
        <v>46132</v>
      </c>
      <c r="C41" s="58" t="s">
        <v>1189</v>
      </c>
      <c r="D41" s="12">
        <v>1004</v>
      </c>
      <c r="E41" s="58" t="s">
        <v>988</v>
      </c>
      <c r="F41" s="12">
        <v>35</v>
      </c>
      <c r="G41" s="12">
        <v>48</v>
      </c>
      <c r="H41" s="12">
        <v>50</v>
      </c>
      <c r="I41" s="12">
        <v>15</v>
      </c>
      <c r="J41" s="58">
        <v>35</v>
      </c>
      <c r="K41" s="67"/>
      <c r="L41" s="89"/>
      <c r="M41" s="67"/>
    </row>
    <row r="42" spans="1:14" hidden="1">
      <c r="A42" s="74"/>
      <c r="B42" s="88">
        <v>46132</v>
      </c>
      <c r="C42" s="58" t="s">
        <v>1189</v>
      </c>
      <c r="D42" s="12">
        <v>915</v>
      </c>
      <c r="E42" s="58" t="s">
        <v>537</v>
      </c>
      <c r="F42" s="12">
        <v>1480</v>
      </c>
      <c r="G42" s="12">
        <v>2767</v>
      </c>
      <c r="H42" s="12">
        <v>1400</v>
      </c>
      <c r="I42" s="12">
        <v>300</v>
      </c>
      <c r="J42" s="58">
        <v>1100</v>
      </c>
      <c r="K42" s="67"/>
      <c r="L42" s="89"/>
      <c r="M42" s="67"/>
    </row>
    <row r="43" spans="1:14" hidden="1">
      <c r="A43" s="74"/>
      <c r="B43" s="88">
        <v>46132</v>
      </c>
      <c r="C43" s="58" t="s">
        <v>1189</v>
      </c>
      <c r="D43" s="12">
        <v>29</v>
      </c>
      <c r="E43" s="58" t="s">
        <v>223</v>
      </c>
      <c r="F43" s="12">
        <v>165</v>
      </c>
      <c r="G43" s="12">
        <v>1435</v>
      </c>
      <c r="H43" s="12">
        <v>4000</v>
      </c>
      <c r="I43" s="12">
        <v>0</v>
      </c>
      <c r="J43" s="58">
        <v>4000</v>
      </c>
      <c r="K43" s="67"/>
      <c r="L43" s="89"/>
      <c r="M43" s="67"/>
    </row>
    <row r="44" spans="1:14" hidden="1">
      <c r="A44" s="74"/>
      <c r="B44" s="88">
        <v>46128</v>
      </c>
      <c r="C44" s="58" t="s">
        <v>1185</v>
      </c>
      <c r="D44" s="12">
        <v>22898</v>
      </c>
      <c r="E44" s="58" t="s">
        <v>1087</v>
      </c>
      <c r="F44" s="12">
        <v>0</v>
      </c>
      <c r="G44" s="12">
        <v>0</v>
      </c>
      <c r="H44" s="12">
        <v>4</v>
      </c>
      <c r="I44" s="12">
        <v>0</v>
      </c>
      <c r="J44" s="58">
        <v>4</v>
      </c>
      <c r="K44" s="67"/>
      <c r="L44" s="89"/>
      <c r="M44" s="67"/>
    </row>
    <row r="45" spans="1:14" hidden="1">
      <c r="A45" s="74"/>
      <c r="B45" s="88">
        <v>46128</v>
      </c>
      <c r="C45" s="58" t="s">
        <v>1182</v>
      </c>
      <c r="D45" s="12">
        <v>318</v>
      </c>
      <c r="E45" s="58" t="s">
        <v>1060</v>
      </c>
      <c r="F45" s="12">
        <v>4</v>
      </c>
      <c r="G45" s="12">
        <v>3</v>
      </c>
      <c r="H45" s="12">
        <v>10</v>
      </c>
      <c r="I45" s="12">
        <v>0</v>
      </c>
      <c r="J45" s="58">
        <v>10</v>
      </c>
      <c r="K45" s="67"/>
      <c r="L45" s="89"/>
      <c r="M45" s="67"/>
    </row>
    <row r="46" spans="1:14" hidden="1">
      <c r="A46" s="74"/>
      <c r="B46" s="88">
        <v>46128</v>
      </c>
      <c r="C46" s="58" t="s">
        <v>1182</v>
      </c>
      <c r="D46" s="12">
        <v>1223</v>
      </c>
      <c r="E46" s="58" t="s">
        <v>1049</v>
      </c>
      <c r="F46" s="12">
        <v>10</v>
      </c>
      <c r="G46" s="12">
        <v>1</v>
      </c>
      <c r="H46" s="12">
        <v>10</v>
      </c>
      <c r="I46" s="12">
        <v>0</v>
      </c>
      <c r="J46" s="58">
        <v>10</v>
      </c>
      <c r="K46" s="67"/>
      <c r="L46" s="89"/>
      <c r="M46" s="67"/>
    </row>
    <row r="47" spans="1:14">
      <c r="A47" s="74"/>
      <c r="B47" s="88">
        <v>46118</v>
      </c>
      <c r="C47" s="58" t="s">
        <v>1184</v>
      </c>
      <c r="D47" s="12">
        <v>1227</v>
      </c>
      <c r="E47" s="58" t="s">
        <v>571</v>
      </c>
      <c r="F47" s="12">
        <v>4</v>
      </c>
      <c r="G47" s="12">
        <v>4</v>
      </c>
      <c r="H47" s="12">
        <v>6</v>
      </c>
      <c r="I47" s="12">
        <v>0</v>
      </c>
      <c r="J47" s="58">
        <v>6</v>
      </c>
      <c r="K47" s="67"/>
      <c r="L47" s="89"/>
      <c r="M47" s="67"/>
    </row>
    <row r="48" spans="1:14">
      <c r="A48" s="74"/>
      <c r="B48" s="98">
        <v>46118</v>
      </c>
      <c r="C48" s="100" t="s">
        <v>1184</v>
      </c>
      <c r="D48" s="99">
        <v>1239</v>
      </c>
      <c r="E48" s="100" t="s">
        <v>570</v>
      </c>
      <c r="F48" s="99">
        <v>0</v>
      </c>
      <c r="G48" s="99">
        <v>10</v>
      </c>
      <c r="H48" s="99">
        <v>15</v>
      </c>
      <c r="I48" s="99">
        <v>0</v>
      </c>
      <c r="J48" s="100">
        <v>15</v>
      </c>
      <c r="K48" s="227"/>
      <c r="L48" s="228"/>
      <c r="M48" s="227"/>
      <c r="N48" s="55">
        <v>46127</v>
      </c>
    </row>
    <row r="49" spans="1:13" hidden="1">
      <c r="A49" s="74"/>
      <c r="B49" s="88">
        <v>46127</v>
      </c>
      <c r="C49" s="58" t="s">
        <v>1185</v>
      </c>
      <c r="D49" s="12">
        <v>330</v>
      </c>
      <c r="E49" s="58" t="s">
        <v>1117</v>
      </c>
      <c r="F49" s="12">
        <v>0</v>
      </c>
      <c r="G49" s="12">
        <v>1</v>
      </c>
      <c r="H49" s="12">
        <v>2</v>
      </c>
      <c r="I49" s="12">
        <v>0</v>
      </c>
      <c r="J49" s="58">
        <v>2</v>
      </c>
      <c r="K49" s="67"/>
      <c r="L49" s="89"/>
      <c r="M49" s="67"/>
    </row>
    <row r="50" spans="1:13" hidden="1">
      <c r="A50" s="74"/>
      <c r="B50" s="88">
        <v>46127</v>
      </c>
      <c r="C50" s="58" t="s">
        <v>1185</v>
      </c>
      <c r="D50" s="12">
        <v>318</v>
      </c>
      <c r="E50" s="58" t="s">
        <v>1060</v>
      </c>
      <c r="F50" s="12">
        <v>0</v>
      </c>
      <c r="G50" s="12">
        <v>1</v>
      </c>
      <c r="H50" s="12">
        <v>3</v>
      </c>
      <c r="I50" s="12">
        <v>0</v>
      </c>
      <c r="J50" s="58">
        <v>3</v>
      </c>
      <c r="K50" s="67"/>
      <c r="L50" s="89"/>
      <c r="M50" s="67"/>
    </row>
    <row r="51" spans="1:13" hidden="1">
      <c r="A51" s="74"/>
      <c r="B51" s="88">
        <v>46127</v>
      </c>
      <c r="C51" s="58" t="s">
        <v>1185</v>
      </c>
      <c r="D51" s="12">
        <v>313</v>
      </c>
      <c r="E51" s="58" t="s">
        <v>1053</v>
      </c>
      <c r="F51" s="12">
        <v>0</v>
      </c>
      <c r="G51" s="12">
        <v>2</v>
      </c>
      <c r="H51" s="12">
        <v>4</v>
      </c>
      <c r="I51" s="12">
        <v>0</v>
      </c>
      <c r="J51" s="58">
        <v>4</v>
      </c>
      <c r="K51" s="67"/>
      <c r="L51" s="89"/>
      <c r="M51" s="67"/>
    </row>
    <row r="52" spans="1:13" hidden="1">
      <c r="A52" s="74"/>
      <c r="B52" s="88">
        <v>46127</v>
      </c>
      <c r="C52" s="58" t="s">
        <v>1185</v>
      </c>
      <c r="D52" s="12">
        <v>1223</v>
      </c>
      <c r="E52" s="58" t="s">
        <v>1049</v>
      </c>
      <c r="F52" s="12">
        <v>0</v>
      </c>
      <c r="G52" s="12">
        <v>2</v>
      </c>
      <c r="H52" s="12">
        <v>3</v>
      </c>
      <c r="I52" s="12">
        <v>0</v>
      </c>
      <c r="J52" s="58">
        <v>3</v>
      </c>
      <c r="K52" s="67"/>
      <c r="L52" s="89"/>
      <c r="M52" s="67"/>
    </row>
    <row r="53" spans="1:13" hidden="1">
      <c r="A53" s="74"/>
      <c r="B53" s="88">
        <v>46127</v>
      </c>
      <c r="C53" s="58" t="s">
        <v>1185</v>
      </c>
      <c r="D53" s="12">
        <v>1540</v>
      </c>
      <c r="E53" s="58" t="s">
        <v>556</v>
      </c>
      <c r="F53" s="12">
        <v>1</v>
      </c>
      <c r="G53" s="12">
        <v>3</v>
      </c>
      <c r="H53" s="12">
        <v>3</v>
      </c>
      <c r="I53" s="12">
        <v>0</v>
      </c>
      <c r="J53" s="58">
        <v>3</v>
      </c>
      <c r="K53" s="67"/>
      <c r="L53" s="89"/>
      <c r="M53" s="67"/>
    </row>
    <row r="54" spans="1:13" hidden="1">
      <c r="A54" s="74"/>
      <c r="B54" s="88">
        <v>46127</v>
      </c>
      <c r="C54" s="58" t="s">
        <v>1185</v>
      </c>
      <c r="D54" s="12">
        <v>1227</v>
      </c>
      <c r="E54" s="58" t="s">
        <v>571</v>
      </c>
      <c r="F54" s="12">
        <v>7</v>
      </c>
      <c r="G54" s="12">
        <v>11</v>
      </c>
      <c r="H54" s="12">
        <v>10</v>
      </c>
      <c r="I54" s="12">
        <v>0</v>
      </c>
      <c r="J54" s="58">
        <v>10</v>
      </c>
      <c r="K54" s="67"/>
      <c r="L54" s="89"/>
      <c r="M54" s="67"/>
    </row>
    <row r="55" spans="1:13" hidden="1">
      <c r="A55" s="74"/>
      <c r="B55" s="88">
        <v>46127</v>
      </c>
      <c r="C55" s="58" t="s">
        <v>1185</v>
      </c>
      <c r="D55" s="12">
        <v>273</v>
      </c>
      <c r="E55" s="58" t="s">
        <v>689</v>
      </c>
      <c r="F55" s="12">
        <v>100</v>
      </c>
      <c r="G55" s="12">
        <v>300</v>
      </c>
      <c r="H55" s="12">
        <v>500</v>
      </c>
      <c r="I55" s="12">
        <v>200</v>
      </c>
      <c r="J55" s="58">
        <v>300</v>
      </c>
      <c r="K55" s="67"/>
      <c r="L55" s="89"/>
      <c r="M55" s="67"/>
    </row>
    <row r="56" spans="1:13" hidden="1">
      <c r="A56" s="74"/>
      <c r="B56" s="88">
        <v>46127</v>
      </c>
      <c r="C56" s="58" t="s">
        <v>1185</v>
      </c>
      <c r="D56" s="12">
        <v>1010</v>
      </c>
      <c r="E56" s="58" t="s">
        <v>1002</v>
      </c>
      <c r="F56" s="12">
        <v>72</v>
      </c>
      <c r="G56" s="12">
        <v>137</v>
      </c>
      <c r="H56" s="12">
        <v>100</v>
      </c>
      <c r="I56" s="12">
        <v>40</v>
      </c>
      <c r="J56" s="58">
        <v>60</v>
      </c>
      <c r="K56" s="67"/>
      <c r="L56" s="89"/>
      <c r="M56" s="67"/>
    </row>
    <row r="57" spans="1:13" hidden="1">
      <c r="A57" s="74"/>
      <c r="B57" s="88">
        <v>46126</v>
      </c>
      <c r="C57" s="58" t="s">
        <v>1185</v>
      </c>
      <c r="D57" s="12">
        <v>984</v>
      </c>
      <c r="E57" s="58" t="s">
        <v>895</v>
      </c>
      <c r="F57" s="12">
        <v>2</v>
      </c>
      <c r="G57" s="12">
        <v>22</v>
      </c>
      <c r="H57" s="12">
        <v>34</v>
      </c>
      <c r="I57" s="12">
        <v>18</v>
      </c>
      <c r="J57" s="58">
        <v>16</v>
      </c>
      <c r="K57" s="67"/>
      <c r="L57" s="89"/>
      <c r="M57" s="67"/>
    </row>
    <row r="58" spans="1:13" hidden="1">
      <c r="A58" s="74"/>
      <c r="B58" s="88">
        <v>46126</v>
      </c>
      <c r="C58" s="58" t="s">
        <v>1188</v>
      </c>
      <c r="D58" s="12">
        <v>915</v>
      </c>
      <c r="E58" s="58" t="s">
        <v>537</v>
      </c>
      <c r="F58" s="12">
        <v>1775</v>
      </c>
      <c r="G58" s="12">
        <v>3224</v>
      </c>
      <c r="H58" s="12">
        <v>3384</v>
      </c>
      <c r="I58" s="12">
        <v>300</v>
      </c>
      <c r="J58" s="58">
        <v>3084</v>
      </c>
      <c r="K58" s="67"/>
      <c r="L58" s="89"/>
      <c r="M58" s="67"/>
    </row>
    <row r="59" spans="1:13" hidden="1">
      <c r="A59" s="74"/>
      <c r="B59" s="88">
        <v>46125</v>
      </c>
      <c r="C59" s="58" t="s">
        <v>1188</v>
      </c>
      <c r="D59" s="12">
        <v>798</v>
      </c>
      <c r="E59" s="58" t="s">
        <v>559</v>
      </c>
      <c r="F59" s="12">
        <v>0</v>
      </c>
      <c r="G59" s="12">
        <v>80</v>
      </c>
      <c r="H59" s="12">
        <v>80</v>
      </c>
      <c r="I59" s="12">
        <v>25</v>
      </c>
      <c r="J59" s="58">
        <v>55</v>
      </c>
      <c r="K59" s="67"/>
      <c r="L59" s="89"/>
      <c r="M59" s="67"/>
    </row>
    <row r="60" spans="1:13" hidden="1">
      <c r="A60" s="74"/>
      <c r="B60" s="88">
        <v>46125</v>
      </c>
      <c r="C60" s="58" t="s">
        <v>1188</v>
      </c>
      <c r="D60" s="12">
        <v>1227</v>
      </c>
      <c r="E60" s="58" t="s">
        <v>571</v>
      </c>
      <c r="F60" s="12">
        <v>5</v>
      </c>
      <c r="G60" s="12">
        <v>3</v>
      </c>
      <c r="H60" s="12">
        <v>3</v>
      </c>
      <c r="I60" s="12">
        <v>0</v>
      </c>
      <c r="J60" s="58">
        <v>3</v>
      </c>
      <c r="K60" s="67"/>
      <c r="L60" s="89"/>
      <c r="M60" s="67"/>
    </row>
    <row r="61" spans="1:13" hidden="1">
      <c r="A61" s="74"/>
      <c r="B61" s="88">
        <v>46125</v>
      </c>
      <c r="C61" s="58" t="s">
        <v>1188</v>
      </c>
      <c r="D61" s="12">
        <v>292</v>
      </c>
      <c r="E61" s="58" t="s">
        <v>887</v>
      </c>
      <c r="F61" s="12">
        <v>0</v>
      </c>
      <c r="G61" s="12">
        <v>1</v>
      </c>
      <c r="H61" s="12">
        <v>2</v>
      </c>
      <c r="I61" s="12">
        <v>1</v>
      </c>
      <c r="J61" s="58">
        <v>1</v>
      </c>
      <c r="K61" s="67"/>
      <c r="L61" s="89"/>
      <c r="M61" s="67"/>
    </row>
    <row r="62" spans="1:13" hidden="1">
      <c r="A62" s="74"/>
      <c r="B62" s="88">
        <v>46125</v>
      </c>
      <c r="C62" s="58" t="s">
        <v>1188</v>
      </c>
      <c r="D62" s="12">
        <v>1429</v>
      </c>
      <c r="E62" s="58" t="s">
        <v>709</v>
      </c>
      <c r="F62" s="12">
        <v>0</v>
      </c>
      <c r="G62" s="12">
        <v>60</v>
      </c>
      <c r="H62" s="12">
        <v>105</v>
      </c>
      <c r="I62" s="12">
        <v>40</v>
      </c>
      <c r="J62" s="58">
        <v>65</v>
      </c>
      <c r="K62" s="67"/>
      <c r="L62" s="89"/>
      <c r="M62" s="67"/>
    </row>
    <row r="63" spans="1:13" hidden="1">
      <c r="A63" s="74"/>
      <c r="B63" s="88">
        <v>46118</v>
      </c>
      <c r="C63" s="58" t="s">
        <v>1198</v>
      </c>
      <c r="D63" s="12">
        <v>798</v>
      </c>
      <c r="E63" s="58" t="s">
        <v>559</v>
      </c>
      <c r="F63" s="12">
        <v>0</v>
      </c>
      <c r="G63" s="12">
        <v>0</v>
      </c>
      <c r="H63" s="12">
        <v>100</v>
      </c>
      <c r="I63" s="12">
        <v>25</v>
      </c>
      <c r="J63" s="58">
        <v>75</v>
      </c>
      <c r="K63" s="67"/>
      <c r="L63" s="89"/>
      <c r="M63" s="67"/>
    </row>
    <row r="64" spans="1:13" hidden="1">
      <c r="A64" s="74"/>
      <c r="B64" s="88">
        <v>46118</v>
      </c>
      <c r="C64" s="58" t="s">
        <v>1198</v>
      </c>
      <c r="D64" s="12">
        <v>1227</v>
      </c>
      <c r="E64" s="58" t="s">
        <v>571</v>
      </c>
      <c r="F64" s="12">
        <v>4</v>
      </c>
      <c r="G64" s="12">
        <v>6</v>
      </c>
      <c r="H64" s="12">
        <v>4</v>
      </c>
      <c r="I64" s="12">
        <v>0</v>
      </c>
      <c r="J64" s="58">
        <v>4</v>
      </c>
      <c r="K64" s="67"/>
      <c r="L64" s="89"/>
      <c r="M64" s="67"/>
    </row>
    <row r="65" spans="1:14" hidden="1">
      <c r="A65" s="74"/>
      <c r="B65" s="98">
        <v>46118</v>
      </c>
      <c r="C65" s="100" t="s">
        <v>1198</v>
      </c>
      <c r="D65" s="99">
        <v>1143</v>
      </c>
      <c r="E65" s="100" t="s">
        <v>568</v>
      </c>
      <c r="F65" s="99">
        <v>0</v>
      </c>
      <c r="G65" s="99">
        <v>2</v>
      </c>
      <c r="H65" s="99">
        <v>6</v>
      </c>
      <c r="I65" s="99">
        <v>0</v>
      </c>
      <c r="J65" s="100">
        <v>6</v>
      </c>
      <c r="K65" s="227"/>
      <c r="L65" s="228"/>
      <c r="M65" s="227"/>
      <c r="N65" s="229" t="s">
        <v>1360</v>
      </c>
    </row>
    <row r="66" spans="1:14" hidden="1">
      <c r="A66" s="74"/>
      <c r="B66" s="98">
        <v>46118</v>
      </c>
      <c r="C66" s="100" t="s">
        <v>1198</v>
      </c>
      <c r="D66" s="99">
        <v>1239</v>
      </c>
      <c r="E66" s="100" t="s">
        <v>570</v>
      </c>
      <c r="F66" s="99">
        <v>4</v>
      </c>
      <c r="G66" s="99">
        <v>1</v>
      </c>
      <c r="H66" s="99">
        <v>4</v>
      </c>
      <c r="I66" s="99">
        <v>0</v>
      </c>
      <c r="J66" s="100">
        <v>4</v>
      </c>
      <c r="K66" s="227"/>
      <c r="L66" s="228"/>
      <c r="M66" s="227"/>
      <c r="N66" s="229" t="s">
        <v>1360</v>
      </c>
    </row>
    <row r="67" spans="1:14">
      <c r="A67" s="74"/>
      <c r="B67" s="98">
        <v>46118</v>
      </c>
      <c r="C67" s="100" t="s">
        <v>1184</v>
      </c>
      <c r="D67" s="99">
        <v>339</v>
      </c>
      <c r="E67" s="100" t="s">
        <v>1128</v>
      </c>
      <c r="F67" s="99">
        <v>0</v>
      </c>
      <c r="G67" s="99">
        <v>0</v>
      </c>
      <c r="H67" s="99">
        <v>2</v>
      </c>
      <c r="I67" s="99">
        <v>1</v>
      </c>
      <c r="J67" s="100">
        <v>1</v>
      </c>
      <c r="K67" s="227"/>
      <c r="L67" s="228" t="s">
        <v>1361</v>
      </c>
      <c r="M67" s="227"/>
    </row>
    <row r="68" spans="1:14">
      <c r="A68" s="74"/>
      <c r="B68" s="88">
        <v>46118</v>
      </c>
      <c r="C68" s="58" t="s">
        <v>1184</v>
      </c>
      <c r="D68" s="12">
        <v>330</v>
      </c>
      <c r="E68" s="58" t="s">
        <v>1117</v>
      </c>
      <c r="F68" s="12">
        <v>2</v>
      </c>
      <c r="G68" s="12">
        <v>0</v>
      </c>
      <c r="H68" s="12">
        <v>2</v>
      </c>
      <c r="I68" s="12">
        <v>0</v>
      </c>
      <c r="J68" s="58">
        <v>2</v>
      </c>
      <c r="K68" s="67"/>
      <c r="L68" s="89"/>
      <c r="M68" s="67"/>
    </row>
    <row r="69" spans="1:14">
      <c r="A69" s="74"/>
      <c r="B69" s="88">
        <v>46118</v>
      </c>
      <c r="C69" s="58" t="s">
        <v>1184</v>
      </c>
      <c r="D69" s="12">
        <v>313</v>
      </c>
      <c r="E69" s="58" t="s">
        <v>1053</v>
      </c>
      <c r="F69" s="12">
        <v>0</v>
      </c>
      <c r="G69" s="12">
        <v>1</v>
      </c>
      <c r="H69" s="12">
        <v>1</v>
      </c>
      <c r="I69" s="12">
        <v>0</v>
      </c>
      <c r="J69" s="58">
        <v>1</v>
      </c>
      <c r="K69" s="67"/>
      <c r="L69" s="89"/>
      <c r="M69" s="67"/>
    </row>
    <row r="70" spans="1:14">
      <c r="A70" s="74"/>
      <c r="B70" s="88">
        <v>46118</v>
      </c>
      <c r="C70" s="58" t="s">
        <v>1184</v>
      </c>
      <c r="D70" s="12">
        <v>1223</v>
      </c>
      <c r="E70" s="58" t="s">
        <v>1049</v>
      </c>
      <c r="F70" s="12">
        <v>0</v>
      </c>
      <c r="G70" s="12">
        <v>0</v>
      </c>
      <c r="H70" s="12">
        <v>2</v>
      </c>
      <c r="I70" s="12">
        <v>0</v>
      </c>
      <c r="J70" s="58">
        <v>2</v>
      </c>
      <c r="K70" s="67"/>
      <c r="L70" s="89"/>
      <c r="M70" s="67"/>
    </row>
    <row r="71" spans="1:14">
      <c r="A71" s="74"/>
      <c r="B71" s="88">
        <v>46118</v>
      </c>
      <c r="C71" s="58" t="s">
        <v>1184</v>
      </c>
      <c r="D71" s="12">
        <v>266</v>
      </c>
      <c r="E71" s="58" t="s">
        <v>661</v>
      </c>
      <c r="F71" s="12">
        <v>5</v>
      </c>
      <c r="G71" s="12">
        <v>4</v>
      </c>
      <c r="H71" s="12">
        <v>10</v>
      </c>
      <c r="I71" s="12">
        <v>0</v>
      </c>
      <c r="J71" s="58">
        <v>10</v>
      </c>
      <c r="K71" s="67"/>
      <c r="L71" s="89" t="s">
        <v>1361</v>
      </c>
      <c r="M71" s="67"/>
    </row>
    <row r="72" spans="1:14" hidden="1">
      <c r="A72" s="74"/>
      <c r="B72" s="88">
        <v>46112</v>
      </c>
      <c r="C72" s="58" t="s">
        <v>1189</v>
      </c>
      <c r="D72" s="12">
        <v>1239</v>
      </c>
      <c r="E72" s="58" t="s">
        <v>570</v>
      </c>
      <c r="F72" s="12">
        <v>1</v>
      </c>
      <c r="G72" s="12">
        <v>1</v>
      </c>
      <c r="H72" s="12">
        <v>2</v>
      </c>
      <c r="I72" s="12">
        <v>0</v>
      </c>
      <c r="J72" s="58">
        <v>2</v>
      </c>
      <c r="K72" s="67"/>
      <c r="L72" s="89"/>
      <c r="M72" s="67"/>
    </row>
    <row r="73" spans="1:14" hidden="1">
      <c r="A73" s="74"/>
      <c r="B73" s="88">
        <v>46112</v>
      </c>
      <c r="C73" s="58" t="s">
        <v>1189</v>
      </c>
      <c r="D73" s="12">
        <v>1143</v>
      </c>
      <c r="E73" s="58" t="s">
        <v>568</v>
      </c>
      <c r="F73" s="12">
        <v>1</v>
      </c>
      <c r="G73" s="12">
        <v>0</v>
      </c>
      <c r="H73" s="12">
        <v>10</v>
      </c>
      <c r="I73" s="12">
        <v>0</v>
      </c>
      <c r="J73" s="58">
        <v>10</v>
      </c>
      <c r="K73" s="67"/>
      <c r="L73" s="89" t="s">
        <v>1361</v>
      </c>
      <c r="M73" s="67"/>
    </row>
    <row r="74" spans="1:14" hidden="1">
      <c r="A74" s="74"/>
      <c r="B74" s="88">
        <v>46112</v>
      </c>
      <c r="C74" s="58" t="s">
        <v>1193</v>
      </c>
      <c r="D74" s="12">
        <v>1227</v>
      </c>
      <c r="E74" s="58" t="s">
        <v>571</v>
      </c>
      <c r="F74" s="12">
        <v>10</v>
      </c>
      <c r="G74" s="12">
        <v>5</v>
      </c>
      <c r="H74" s="12">
        <v>5</v>
      </c>
      <c r="I74" s="12">
        <v>0</v>
      </c>
      <c r="J74" s="58">
        <v>5</v>
      </c>
      <c r="K74" s="67"/>
      <c r="L74" s="89"/>
      <c r="M74" s="67"/>
    </row>
    <row r="75" spans="1:14" hidden="1">
      <c r="A75" s="74"/>
      <c r="B75" s="88">
        <v>46112</v>
      </c>
      <c r="C75" s="58" t="s">
        <v>1193</v>
      </c>
      <c r="D75" s="12">
        <v>798</v>
      </c>
      <c r="E75" s="58" t="s">
        <v>559</v>
      </c>
      <c r="F75" s="12">
        <v>0</v>
      </c>
      <c r="G75" s="12">
        <v>40</v>
      </c>
      <c r="H75" s="12">
        <v>40</v>
      </c>
      <c r="I75" s="12">
        <v>25</v>
      </c>
      <c r="J75" s="58">
        <v>15</v>
      </c>
      <c r="K75" s="67"/>
      <c r="L75" s="89"/>
      <c r="M75" s="67"/>
    </row>
    <row r="76" spans="1:14" hidden="1">
      <c r="A76" s="74"/>
      <c r="B76" s="88">
        <v>46112</v>
      </c>
      <c r="C76" s="58" t="s">
        <v>1193</v>
      </c>
      <c r="D76" s="12">
        <v>1227</v>
      </c>
      <c r="E76" s="58" t="s">
        <v>571</v>
      </c>
      <c r="F76" s="12">
        <v>0</v>
      </c>
      <c r="G76" s="12">
        <v>5</v>
      </c>
      <c r="H76" s="12">
        <v>5</v>
      </c>
      <c r="I76" s="12">
        <v>0</v>
      </c>
      <c r="J76" s="58">
        <v>5</v>
      </c>
      <c r="K76" s="67"/>
      <c r="L76" s="89"/>
      <c r="M76" s="67"/>
    </row>
    <row r="77" spans="1:14" hidden="1">
      <c r="A77" s="74"/>
      <c r="B77" s="88">
        <v>46112</v>
      </c>
      <c r="C77" s="58" t="s">
        <v>1193</v>
      </c>
      <c r="D77" s="12">
        <v>1239</v>
      </c>
      <c r="E77" s="58" t="s">
        <v>570</v>
      </c>
      <c r="F77" s="12">
        <v>0</v>
      </c>
      <c r="G77" s="12">
        <v>4</v>
      </c>
      <c r="H77" s="12">
        <v>2</v>
      </c>
      <c r="I77" s="12">
        <v>0</v>
      </c>
      <c r="J77" s="58">
        <v>2</v>
      </c>
      <c r="K77" s="67"/>
      <c r="L77" s="89" t="s">
        <v>1374</v>
      </c>
      <c r="M77" s="67"/>
    </row>
    <row r="78" spans="1:14" hidden="1">
      <c r="A78" s="74"/>
      <c r="B78" s="88">
        <v>46112</v>
      </c>
      <c r="C78" s="58" t="s">
        <v>1193</v>
      </c>
      <c r="D78" s="12">
        <v>1416</v>
      </c>
      <c r="E78" s="58" t="s">
        <v>993</v>
      </c>
      <c r="F78" s="12">
        <v>0</v>
      </c>
      <c r="G78" s="12">
        <v>1</v>
      </c>
      <c r="H78" s="12">
        <v>2</v>
      </c>
      <c r="I78" s="12">
        <v>0</v>
      </c>
      <c r="J78" s="58">
        <v>2</v>
      </c>
      <c r="K78" s="67"/>
      <c r="L78" s="89" t="s">
        <v>1374</v>
      </c>
      <c r="M78" s="67"/>
    </row>
    <row r="79" spans="1:14" hidden="1">
      <c r="A79" s="74"/>
      <c r="B79" s="88">
        <v>46112</v>
      </c>
      <c r="C79" s="58" t="s">
        <v>1193</v>
      </c>
      <c r="D79" s="12">
        <v>1415</v>
      </c>
      <c r="E79" s="58" t="s">
        <v>992</v>
      </c>
      <c r="F79" s="12">
        <v>0</v>
      </c>
      <c r="G79" s="12">
        <v>1</v>
      </c>
      <c r="H79" s="12">
        <v>2</v>
      </c>
      <c r="I79" s="12">
        <v>0</v>
      </c>
      <c r="J79" s="58">
        <v>2</v>
      </c>
      <c r="K79" s="67"/>
      <c r="L79" s="89" t="s">
        <v>1374</v>
      </c>
      <c r="M79" s="67"/>
    </row>
    <row r="80" spans="1:14" hidden="1">
      <c r="A80" s="74"/>
      <c r="B80" s="88">
        <v>46112</v>
      </c>
      <c r="C80" s="58" t="s">
        <v>1194</v>
      </c>
      <c r="D80" s="12">
        <v>1239</v>
      </c>
      <c r="E80" s="58" t="s">
        <v>570</v>
      </c>
      <c r="F80" s="12">
        <v>0</v>
      </c>
      <c r="G80" s="12">
        <v>4</v>
      </c>
      <c r="H80" s="12">
        <v>4</v>
      </c>
      <c r="I80" s="12">
        <v>0</v>
      </c>
      <c r="J80" s="58">
        <v>4</v>
      </c>
      <c r="K80" s="67"/>
      <c r="L80" s="89" t="s">
        <v>1374</v>
      </c>
      <c r="M80" s="67"/>
    </row>
    <row r="81" spans="1:15" hidden="1">
      <c r="A81" s="74"/>
      <c r="B81" s="88">
        <v>46111</v>
      </c>
      <c r="C81" s="58" t="s">
        <v>1194</v>
      </c>
      <c r="D81" s="12">
        <v>1143</v>
      </c>
      <c r="E81" s="58" t="s">
        <v>568</v>
      </c>
      <c r="F81" s="12">
        <v>1</v>
      </c>
      <c r="G81" s="12">
        <v>4</v>
      </c>
      <c r="H81" s="12">
        <v>3</v>
      </c>
      <c r="I81" s="12">
        <v>1</v>
      </c>
      <c r="J81" s="58">
        <v>2</v>
      </c>
      <c r="K81" s="67"/>
      <c r="L81" s="89" t="s">
        <v>1374</v>
      </c>
      <c r="M81" s="67"/>
    </row>
    <row r="82" spans="1:15" hidden="1">
      <c r="A82" s="74"/>
      <c r="B82" s="88">
        <v>46111</v>
      </c>
      <c r="C82" s="58" t="s">
        <v>1194</v>
      </c>
      <c r="D82" s="12">
        <v>1415</v>
      </c>
      <c r="E82" s="58" t="s">
        <v>992</v>
      </c>
      <c r="F82" s="12">
        <v>0</v>
      </c>
      <c r="G82" s="12">
        <v>0</v>
      </c>
      <c r="H82" s="12">
        <v>1</v>
      </c>
      <c r="I82" s="12">
        <v>0</v>
      </c>
      <c r="J82" s="58">
        <v>1</v>
      </c>
      <c r="K82" s="67"/>
      <c r="L82" s="89" t="s">
        <v>1374</v>
      </c>
      <c r="M82" s="67"/>
    </row>
    <row r="83" spans="1:15" hidden="1">
      <c r="A83" s="74"/>
      <c r="B83" s="88">
        <v>46111</v>
      </c>
      <c r="C83" s="58" t="s">
        <v>1194</v>
      </c>
      <c r="D83" s="12">
        <v>1416</v>
      </c>
      <c r="E83" s="58" t="s">
        <v>993</v>
      </c>
      <c r="F83" s="12">
        <v>0</v>
      </c>
      <c r="G83" s="12">
        <v>0</v>
      </c>
      <c r="H83" s="12">
        <v>2</v>
      </c>
      <c r="I83" s="12">
        <v>0</v>
      </c>
      <c r="J83" s="58">
        <v>2</v>
      </c>
      <c r="K83" s="67"/>
      <c r="L83" s="89" t="s">
        <v>1374</v>
      </c>
      <c r="M83" s="67"/>
    </row>
    <row r="84" spans="1:15" hidden="1">
      <c r="A84" s="74"/>
      <c r="B84" s="88">
        <v>46107</v>
      </c>
      <c r="C84" s="58" t="s">
        <v>1191</v>
      </c>
      <c r="D84" s="12">
        <v>1416</v>
      </c>
      <c r="E84" s="58" t="s">
        <v>993</v>
      </c>
      <c r="F84" s="12">
        <v>0</v>
      </c>
      <c r="G84" s="12">
        <v>1</v>
      </c>
      <c r="H84" s="12">
        <v>1</v>
      </c>
      <c r="I84" s="12">
        <v>0</v>
      </c>
      <c r="J84" s="58">
        <v>1</v>
      </c>
      <c r="K84" s="67"/>
      <c r="L84" s="89" t="s">
        <v>1374</v>
      </c>
      <c r="M84" s="67"/>
    </row>
    <row r="85" spans="1:15" hidden="1">
      <c r="A85" s="74"/>
      <c r="B85" s="88">
        <v>46107</v>
      </c>
      <c r="C85" s="58" t="s">
        <v>1191</v>
      </c>
      <c r="D85" s="12">
        <v>1415</v>
      </c>
      <c r="E85" s="58" t="s">
        <v>992</v>
      </c>
      <c r="F85" s="12">
        <v>1</v>
      </c>
      <c r="G85" s="12">
        <v>1</v>
      </c>
      <c r="H85" s="12">
        <v>1</v>
      </c>
      <c r="I85" s="12">
        <v>0</v>
      </c>
      <c r="J85" s="58">
        <v>1</v>
      </c>
      <c r="K85" s="67"/>
      <c r="L85" s="89" t="s">
        <v>1374</v>
      </c>
      <c r="M85" s="67"/>
    </row>
    <row r="86" spans="1:15" hidden="1">
      <c r="A86" s="74"/>
      <c r="B86" s="88">
        <v>46107</v>
      </c>
      <c r="C86" s="58" t="s">
        <v>1191</v>
      </c>
      <c r="D86" s="12">
        <v>252</v>
      </c>
      <c r="E86" s="58" t="s">
        <v>489</v>
      </c>
      <c r="F86" s="12">
        <v>10</v>
      </c>
      <c r="G86" s="12">
        <v>10</v>
      </c>
      <c r="H86" s="12">
        <v>10</v>
      </c>
      <c r="I86" s="12">
        <v>0</v>
      </c>
      <c r="J86" s="58">
        <v>10</v>
      </c>
      <c r="K86" s="67"/>
      <c r="L86" s="89" t="s">
        <v>1374</v>
      </c>
      <c r="M86" s="67"/>
    </row>
    <row r="87" spans="1:15" hidden="1">
      <c r="A87" s="74"/>
      <c r="B87" s="88">
        <v>46107</v>
      </c>
      <c r="C87" s="58" t="s">
        <v>1191</v>
      </c>
      <c r="D87" s="12">
        <v>29</v>
      </c>
      <c r="E87" s="58" t="s">
        <v>223</v>
      </c>
      <c r="F87" s="12">
        <v>1150</v>
      </c>
      <c r="G87" s="12">
        <v>980</v>
      </c>
      <c r="H87" s="12">
        <v>1000</v>
      </c>
      <c r="I87" s="12">
        <v>0</v>
      </c>
      <c r="J87" s="58">
        <v>1000</v>
      </c>
      <c r="K87" s="67"/>
      <c r="L87" s="89"/>
      <c r="M87" s="67"/>
    </row>
    <row r="88" spans="1:15" hidden="1">
      <c r="A88" s="74"/>
      <c r="B88" s="88">
        <v>46105</v>
      </c>
      <c r="C88" s="58" t="s">
        <v>1189</v>
      </c>
      <c r="D88" s="12">
        <v>915</v>
      </c>
      <c r="E88" s="58" t="s">
        <v>537</v>
      </c>
      <c r="F88" s="12">
        <v>2135</v>
      </c>
      <c r="G88" s="12">
        <v>2167</v>
      </c>
      <c r="H88" s="12">
        <v>1800</v>
      </c>
      <c r="I88" s="12">
        <v>300</v>
      </c>
      <c r="J88" s="58">
        <v>1500</v>
      </c>
      <c r="K88" s="67"/>
      <c r="L88" s="89"/>
      <c r="M88" s="67"/>
    </row>
    <row r="89" spans="1:15" hidden="1">
      <c r="A89" s="74"/>
      <c r="B89" s="88">
        <v>46105</v>
      </c>
      <c r="C89" s="58" t="s">
        <v>1189</v>
      </c>
      <c r="D89" s="12">
        <v>252</v>
      </c>
      <c r="E89" s="58" t="s">
        <v>489</v>
      </c>
      <c r="F89" s="12">
        <v>16</v>
      </c>
      <c r="G89" s="12">
        <v>30</v>
      </c>
      <c r="H89" s="12">
        <v>10</v>
      </c>
      <c r="I89" s="12">
        <v>6</v>
      </c>
      <c r="J89" s="58">
        <v>4</v>
      </c>
      <c r="K89" s="67"/>
      <c r="L89" s="89" t="s">
        <v>1374</v>
      </c>
      <c r="M89" s="67"/>
    </row>
    <row r="90" spans="1:15" hidden="1">
      <c r="A90" s="74"/>
      <c r="B90" s="88">
        <v>46105</v>
      </c>
      <c r="C90" s="58" t="s">
        <v>1189</v>
      </c>
      <c r="D90" s="12">
        <v>1530</v>
      </c>
      <c r="E90" s="58" t="s">
        <v>94</v>
      </c>
      <c r="F90" s="12">
        <v>0</v>
      </c>
      <c r="G90" s="12">
        <v>57</v>
      </c>
      <c r="H90" s="12">
        <v>100</v>
      </c>
      <c r="I90" s="12">
        <v>40</v>
      </c>
      <c r="J90" s="58">
        <v>60</v>
      </c>
      <c r="K90" s="67"/>
      <c r="L90" s="89" t="s">
        <v>1374</v>
      </c>
      <c r="M90" s="67"/>
    </row>
    <row r="91" spans="1:15" s="229" customFormat="1" hidden="1">
      <c r="A91" s="226"/>
      <c r="B91" s="98">
        <v>46094</v>
      </c>
      <c r="C91" s="100" t="s">
        <v>1188</v>
      </c>
      <c r="D91" s="99">
        <v>558</v>
      </c>
      <c r="E91" s="100" t="s">
        <v>1085</v>
      </c>
      <c r="F91" s="99">
        <v>1</v>
      </c>
      <c r="G91" s="99">
        <v>5</v>
      </c>
      <c r="H91" s="99">
        <v>8</v>
      </c>
      <c r="I91" s="99">
        <v>0</v>
      </c>
      <c r="J91" s="100">
        <v>8</v>
      </c>
      <c r="K91" s="227"/>
      <c r="L91" s="228"/>
      <c r="M91" s="227"/>
      <c r="N91" s="229" t="s">
        <v>1360</v>
      </c>
    </row>
    <row r="92" spans="1:15" hidden="1">
      <c r="A92" s="74"/>
      <c r="B92" s="88">
        <v>46099</v>
      </c>
      <c r="C92" s="58" t="s">
        <v>1185</v>
      </c>
      <c r="D92" s="12">
        <v>29</v>
      </c>
      <c r="E92" s="58" t="s">
        <v>223</v>
      </c>
      <c r="F92" s="12">
        <v>992</v>
      </c>
      <c r="G92" s="12">
        <v>2667</v>
      </c>
      <c r="H92" s="12">
        <v>3524</v>
      </c>
      <c r="I92" s="12">
        <v>1000</v>
      </c>
      <c r="J92" s="58">
        <v>2524</v>
      </c>
      <c r="K92" s="67"/>
      <c r="L92" s="89"/>
      <c r="M92" s="67"/>
    </row>
    <row r="93" spans="1:15" s="229" customFormat="1" hidden="1">
      <c r="A93" s="226"/>
      <c r="B93" s="98">
        <v>46099</v>
      </c>
      <c r="C93" s="100" t="s">
        <v>1185</v>
      </c>
      <c r="D93" s="99">
        <v>339</v>
      </c>
      <c r="E93" s="100" t="s">
        <v>1128</v>
      </c>
      <c r="F93" s="99">
        <v>0</v>
      </c>
      <c r="G93" s="99">
        <v>2</v>
      </c>
      <c r="H93" s="99">
        <v>2</v>
      </c>
      <c r="I93" s="99">
        <v>0</v>
      </c>
      <c r="J93" s="100">
        <v>2</v>
      </c>
      <c r="K93" s="227"/>
      <c r="L93" s="228" t="s">
        <v>1374</v>
      </c>
      <c r="M93" s="227"/>
      <c r="N93" s="229" t="s">
        <v>1385</v>
      </c>
      <c r="O93" s="229">
        <v>1</v>
      </c>
    </row>
    <row r="94" spans="1:15" hidden="1">
      <c r="A94" s="74"/>
      <c r="B94" s="88">
        <v>46099</v>
      </c>
      <c r="C94" s="58" t="s">
        <v>1185</v>
      </c>
      <c r="D94" s="12">
        <v>1415</v>
      </c>
      <c r="E94" s="58" t="s">
        <v>992</v>
      </c>
      <c r="F94" s="12">
        <v>0</v>
      </c>
      <c r="G94" s="12">
        <v>1</v>
      </c>
      <c r="H94" s="12">
        <v>2</v>
      </c>
      <c r="I94" s="12">
        <v>0</v>
      </c>
      <c r="J94" s="58">
        <v>2</v>
      </c>
      <c r="K94" s="67"/>
      <c r="L94" s="89" t="s">
        <v>1374</v>
      </c>
      <c r="M94" s="67"/>
    </row>
    <row r="95" spans="1:15" s="229" customFormat="1" hidden="1">
      <c r="A95" s="226"/>
      <c r="B95" s="98">
        <v>46099</v>
      </c>
      <c r="C95" s="100" t="s">
        <v>1185</v>
      </c>
      <c r="D95" s="99">
        <v>2242</v>
      </c>
      <c r="E95" s="100" t="s">
        <v>1094</v>
      </c>
      <c r="F95" s="99">
        <v>0</v>
      </c>
      <c r="G95" s="99">
        <v>0</v>
      </c>
      <c r="H95" s="99">
        <v>10</v>
      </c>
      <c r="I95" s="99">
        <v>3</v>
      </c>
      <c r="J95" s="100">
        <v>7</v>
      </c>
      <c r="K95" s="227" t="s">
        <v>1361</v>
      </c>
      <c r="L95" s="228"/>
      <c r="M95" s="227"/>
      <c r="N95" s="229" t="s">
        <v>1356</v>
      </c>
    </row>
    <row r="96" spans="1:15" hidden="1">
      <c r="A96" s="74"/>
      <c r="B96" s="88">
        <v>46099</v>
      </c>
      <c r="C96" s="58" t="s">
        <v>1185</v>
      </c>
      <c r="D96" s="12">
        <v>1223</v>
      </c>
      <c r="E96" s="58" t="s">
        <v>1381</v>
      </c>
      <c r="F96" s="12">
        <v>0</v>
      </c>
      <c r="G96" s="12">
        <v>2</v>
      </c>
      <c r="H96" s="12">
        <v>1</v>
      </c>
      <c r="I96" s="12">
        <v>0</v>
      </c>
      <c r="J96" s="58">
        <v>1</v>
      </c>
      <c r="K96" s="67"/>
      <c r="L96" s="89"/>
      <c r="M96" s="67"/>
    </row>
    <row r="97" spans="1:16" hidden="1">
      <c r="A97" s="74"/>
      <c r="B97" s="88">
        <v>46092</v>
      </c>
      <c r="C97" s="58" t="s">
        <v>1186</v>
      </c>
      <c r="D97" s="12">
        <v>915</v>
      </c>
      <c r="E97" s="58" t="s">
        <v>537</v>
      </c>
      <c r="F97" s="12">
        <v>300</v>
      </c>
      <c r="G97" s="12">
        <v>450</v>
      </c>
      <c r="H97" s="12">
        <v>500</v>
      </c>
      <c r="I97" s="12">
        <v>300</v>
      </c>
      <c r="J97" s="58">
        <v>200</v>
      </c>
      <c r="K97" s="67"/>
      <c r="L97" s="89"/>
      <c r="M97" s="67"/>
    </row>
    <row r="98" spans="1:16" s="229" customFormat="1" hidden="1">
      <c r="A98" s="226"/>
      <c r="B98" s="98">
        <v>46092</v>
      </c>
      <c r="C98" s="100" t="s">
        <v>1198</v>
      </c>
      <c r="D98" s="99">
        <v>558</v>
      </c>
      <c r="E98" s="100" t="s">
        <v>1085</v>
      </c>
      <c r="F98" s="99">
        <v>0</v>
      </c>
      <c r="G98" s="99">
        <v>12</v>
      </c>
      <c r="H98" s="99">
        <v>22</v>
      </c>
      <c r="I98" s="99">
        <v>0</v>
      </c>
      <c r="J98" s="100">
        <v>22</v>
      </c>
      <c r="K98" s="227"/>
      <c r="L98" s="228" t="s">
        <v>1361</v>
      </c>
      <c r="M98" s="227"/>
      <c r="N98" s="229" t="s">
        <v>1356</v>
      </c>
    </row>
    <row r="99" spans="1:16" hidden="1">
      <c r="A99" s="74"/>
      <c r="B99" s="88">
        <v>46092</v>
      </c>
      <c r="C99" s="58" t="s">
        <v>1198</v>
      </c>
      <c r="D99" s="12">
        <v>23715</v>
      </c>
      <c r="E99" s="58" t="s">
        <v>1081</v>
      </c>
      <c r="F99" s="12">
        <v>0</v>
      </c>
      <c r="G99" s="12">
        <v>1</v>
      </c>
      <c r="H99" s="12">
        <v>1</v>
      </c>
      <c r="I99" s="12">
        <v>0</v>
      </c>
      <c r="J99" s="58">
        <v>1</v>
      </c>
      <c r="K99" s="67" t="s">
        <v>1361</v>
      </c>
      <c r="L99" s="89"/>
      <c r="M99" s="67"/>
    </row>
    <row r="100" spans="1:16" s="229" customFormat="1" hidden="1">
      <c r="A100" s="226"/>
      <c r="B100" s="98">
        <v>46092</v>
      </c>
      <c r="C100" s="100" t="s">
        <v>1198</v>
      </c>
      <c r="D100" s="99" t="s">
        <v>1368</v>
      </c>
      <c r="E100" s="100" t="s">
        <v>1077</v>
      </c>
      <c r="F100" s="99">
        <v>0</v>
      </c>
      <c r="G100" s="99">
        <v>3</v>
      </c>
      <c r="H100" s="99">
        <v>6</v>
      </c>
      <c r="I100" s="99">
        <v>0</v>
      </c>
      <c r="J100" s="100">
        <v>6</v>
      </c>
      <c r="K100" s="227"/>
      <c r="L100" s="228" t="s">
        <v>1361</v>
      </c>
      <c r="M100" s="227"/>
      <c r="N100" s="229" t="s">
        <v>1368</v>
      </c>
    </row>
    <row r="101" spans="1:16" s="229" customFormat="1" hidden="1">
      <c r="A101" s="226"/>
      <c r="B101" s="98">
        <v>46092</v>
      </c>
      <c r="C101" s="100" t="s">
        <v>1198</v>
      </c>
      <c r="D101" s="99">
        <v>2209</v>
      </c>
      <c r="E101" s="100" t="s">
        <v>1076</v>
      </c>
      <c r="F101" s="99">
        <v>0</v>
      </c>
      <c r="G101" s="99">
        <v>6</v>
      </c>
      <c r="H101" s="99">
        <v>15</v>
      </c>
      <c r="I101" s="99">
        <v>0</v>
      </c>
      <c r="J101" s="100">
        <v>15</v>
      </c>
      <c r="K101" s="227"/>
      <c r="L101" s="228" t="s">
        <v>1361</v>
      </c>
      <c r="M101" s="227"/>
      <c r="N101" s="229" t="s">
        <v>1368</v>
      </c>
    </row>
    <row r="102" spans="1:16" s="229" customFormat="1" hidden="1">
      <c r="A102" s="226"/>
      <c r="B102" s="98">
        <v>46091</v>
      </c>
      <c r="C102" s="100" t="s">
        <v>1198</v>
      </c>
      <c r="D102" s="99">
        <v>988</v>
      </c>
      <c r="E102" s="100" t="s">
        <v>905</v>
      </c>
      <c r="F102" s="99">
        <v>5</v>
      </c>
      <c r="G102" s="99">
        <v>6</v>
      </c>
      <c r="H102" s="99">
        <v>5</v>
      </c>
      <c r="I102" s="99">
        <v>0</v>
      </c>
      <c r="J102" s="100">
        <v>5</v>
      </c>
      <c r="K102" s="227"/>
      <c r="L102" s="228" t="s">
        <v>1361</v>
      </c>
      <c r="M102" s="227"/>
      <c r="N102" s="229" t="s">
        <v>1368</v>
      </c>
    </row>
    <row r="103" spans="1:16" hidden="1">
      <c r="A103" s="74"/>
      <c r="B103" s="88">
        <v>46091</v>
      </c>
      <c r="C103" s="58" t="s">
        <v>1198</v>
      </c>
      <c r="D103" s="12">
        <v>915</v>
      </c>
      <c r="E103" s="58" t="s">
        <v>537</v>
      </c>
      <c r="F103" s="12">
        <v>570</v>
      </c>
      <c r="G103" s="12">
        <v>1815</v>
      </c>
      <c r="H103" s="12">
        <v>2000</v>
      </c>
      <c r="I103" s="12">
        <v>300</v>
      </c>
      <c r="J103" s="58">
        <v>1700</v>
      </c>
      <c r="K103" s="67"/>
      <c r="L103" s="89"/>
      <c r="M103" s="67"/>
    </row>
    <row r="104" spans="1:16" s="229" customFormat="1" hidden="1">
      <c r="A104" s="226"/>
      <c r="B104" s="98">
        <v>46091</v>
      </c>
      <c r="C104" s="100" t="s">
        <v>1198</v>
      </c>
      <c r="D104" s="99">
        <v>913</v>
      </c>
      <c r="E104" s="100" t="s">
        <v>529</v>
      </c>
      <c r="F104" s="99">
        <v>2000</v>
      </c>
      <c r="G104" s="99">
        <v>4683</v>
      </c>
      <c r="H104" s="99">
        <v>6000</v>
      </c>
      <c r="I104" s="99">
        <v>0</v>
      </c>
      <c r="J104" s="100">
        <v>6000</v>
      </c>
      <c r="K104" s="227"/>
      <c r="L104" s="228"/>
      <c r="M104" s="227"/>
      <c r="N104" s="229" t="s">
        <v>1356</v>
      </c>
    </row>
    <row r="105" spans="1:16" hidden="1">
      <c r="A105" s="74"/>
      <c r="B105" s="98">
        <v>46090</v>
      </c>
      <c r="C105" s="100" t="s">
        <v>1198</v>
      </c>
      <c r="D105" s="99">
        <v>254</v>
      </c>
      <c r="E105" s="100" t="s">
        <v>499</v>
      </c>
      <c r="F105" s="99">
        <v>350</v>
      </c>
      <c r="G105" s="99">
        <v>867</v>
      </c>
      <c r="H105" s="99">
        <v>1200</v>
      </c>
      <c r="I105" s="99">
        <v>550</v>
      </c>
      <c r="J105" s="100">
        <v>650</v>
      </c>
      <c r="K105" s="227"/>
      <c r="L105" s="228" t="s">
        <v>1361</v>
      </c>
      <c r="M105" s="227"/>
      <c r="N105" s="229" t="s">
        <v>1356</v>
      </c>
      <c r="O105" s="229">
        <v>400</v>
      </c>
      <c r="P105" s="229"/>
    </row>
    <row r="106" spans="1:16">
      <c r="A106" s="74"/>
      <c r="B106" s="88">
        <v>46090</v>
      </c>
      <c r="C106" s="58" t="s">
        <v>1184</v>
      </c>
      <c r="D106" s="12">
        <v>1415</v>
      </c>
      <c r="E106" s="58" t="s">
        <v>992</v>
      </c>
      <c r="F106" s="12">
        <v>0</v>
      </c>
      <c r="G106" s="12">
        <v>0</v>
      </c>
      <c r="H106" s="12">
        <v>1</v>
      </c>
      <c r="I106" s="12">
        <v>0</v>
      </c>
      <c r="J106" s="58">
        <v>1</v>
      </c>
      <c r="K106" s="67"/>
      <c r="L106" s="89" t="s">
        <v>1361</v>
      </c>
      <c r="M106" s="67"/>
    </row>
    <row r="107" spans="1:16">
      <c r="A107" s="74"/>
      <c r="B107" s="88">
        <v>46090</v>
      </c>
      <c r="C107" s="58" t="s">
        <v>1184</v>
      </c>
      <c r="D107" s="12">
        <v>1180</v>
      </c>
      <c r="E107" s="58" t="s">
        <v>561</v>
      </c>
      <c r="F107" s="12">
        <v>0</v>
      </c>
      <c r="G107" s="12">
        <v>0</v>
      </c>
      <c r="H107" s="12">
        <v>1</v>
      </c>
      <c r="I107" s="12">
        <v>0</v>
      </c>
      <c r="J107" s="58">
        <v>1</v>
      </c>
      <c r="K107" s="67"/>
      <c r="L107" s="89"/>
      <c r="M107" s="67"/>
    </row>
    <row r="108" spans="1:16">
      <c r="A108" s="74"/>
      <c r="B108" s="88">
        <v>46090</v>
      </c>
      <c r="C108" s="58" t="s">
        <v>1184</v>
      </c>
      <c r="D108" s="12">
        <v>1179</v>
      </c>
      <c r="E108" s="58" t="s">
        <v>560</v>
      </c>
      <c r="F108" s="12">
        <v>0</v>
      </c>
      <c r="G108" s="12">
        <v>0</v>
      </c>
      <c r="H108" s="12">
        <v>1</v>
      </c>
      <c r="I108" s="12">
        <v>0</v>
      </c>
      <c r="J108" s="58">
        <v>1</v>
      </c>
      <c r="K108" s="67"/>
      <c r="L108" s="89"/>
      <c r="M108" s="67"/>
    </row>
    <row r="109" spans="1:16" s="225" customFormat="1">
      <c r="A109" s="219"/>
      <c r="B109" s="220">
        <v>46090</v>
      </c>
      <c r="C109" s="221" t="s">
        <v>1184</v>
      </c>
      <c r="D109" s="222">
        <v>798</v>
      </c>
      <c r="E109" s="221" t="s">
        <v>559</v>
      </c>
      <c r="F109" s="222">
        <v>5</v>
      </c>
      <c r="G109" s="222">
        <v>26</v>
      </c>
      <c r="H109" s="222">
        <v>30</v>
      </c>
      <c r="I109" s="222">
        <v>0</v>
      </c>
      <c r="J109" s="221">
        <v>30</v>
      </c>
      <c r="K109" s="223"/>
      <c r="L109" s="224" t="s">
        <v>1361</v>
      </c>
      <c r="M109" s="223"/>
      <c r="N109" s="225" t="s">
        <v>1380</v>
      </c>
    </row>
    <row r="110" spans="1:16" s="225" customFormat="1">
      <c r="A110" s="219"/>
      <c r="B110" s="220">
        <v>46090</v>
      </c>
      <c r="C110" s="221" t="s">
        <v>1184</v>
      </c>
      <c r="D110" s="222">
        <v>25115</v>
      </c>
      <c r="E110" s="221" t="s">
        <v>1086</v>
      </c>
      <c r="F110" s="222">
        <v>0</v>
      </c>
      <c r="G110" s="222">
        <v>6</v>
      </c>
      <c r="H110" s="222">
        <v>11</v>
      </c>
      <c r="I110" s="222">
        <v>5</v>
      </c>
      <c r="J110" s="221">
        <v>6</v>
      </c>
      <c r="K110" s="223"/>
      <c r="L110" s="224" t="s">
        <v>1361</v>
      </c>
      <c r="M110" s="223"/>
      <c r="N110" s="225" t="s">
        <v>1380</v>
      </c>
    </row>
    <row r="111" spans="1:16" s="225" customFormat="1">
      <c r="A111" s="219"/>
      <c r="B111" s="220">
        <v>46090</v>
      </c>
      <c r="C111" s="221" t="s">
        <v>1184</v>
      </c>
      <c r="D111" s="222">
        <v>2209</v>
      </c>
      <c r="E111" s="221" t="s">
        <v>1076</v>
      </c>
      <c r="F111" s="222">
        <v>8</v>
      </c>
      <c r="G111" s="222">
        <v>9</v>
      </c>
      <c r="H111" s="222">
        <v>8</v>
      </c>
      <c r="I111" s="222">
        <v>5</v>
      </c>
      <c r="J111" s="221">
        <v>3</v>
      </c>
      <c r="K111" s="223"/>
      <c r="L111" s="224" t="s">
        <v>1361</v>
      </c>
      <c r="M111" s="223"/>
      <c r="N111" s="225" t="s">
        <v>1380</v>
      </c>
    </row>
    <row r="112" spans="1:16" s="225" customFormat="1">
      <c r="A112" s="219"/>
      <c r="B112" s="220">
        <v>46090</v>
      </c>
      <c r="C112" s="221" t="s">
        <v>1184</v>
      </c>
      <c r="D112" s="222">
        <v>558</v>
      </c>
      <c r="E112" s="221" t="s">
        <v>1085</v>
      </c>
      <c r="F112" s="222">
        <v>0</v>
      </c>
      <c r="G112" s="222">
        <v>6</v>
      </c>
      <c r="H112" s="222">
        <v>11</v>
      </c>
      <c r="I112" s="222">
        <v>0</v>
      </c>
      <c r="J112" s="221">
        <v>11</v>
      </c>
      <c r="K112" s="223"/>
      <c r="L112" s="224" t="s">
        <v>1361</v>
      </c>
      <c r="M112" s="223"/>
      <c r="N112" s="225" t="s">
        <v>1373</v>
      </c>
    </row>
    <row r="113" spans="1:14" s="225" customFormat="1">
      <c r="A113" s="219"/>
      <c r="B113" s="220">
        <v>46090</v>
      </c>
      <c r="C113" s="221" t="s">
        <v>1184</v>
      </c>
      <c r="D113" s="222">
        <v>224</v>
      </c>
      <c r="E113" s="221" t="s">
        <v>1077</v>
      </c>
      <c r="F113" s="222">
        <v>0</v>
      </c>
      <c r="G113" s="222">
        <v>0</v>
      </c>
      <c r="H113" s="222">
        <v>20</v>
      </c>
      <c r="I113" s="222">
        <v>0</v>
      </c>
      <c r="J113" s="221">
        <v>20</v>
      </c>
      <c r="K113" s="223"/>
      <c r="L113" s="224" t="s">
        <v>1361</v>
      </c>
      <c r="M113" s="223"/>
      <c r="N113" s="225" t="s">
        <v>1368</v>
      </c>
    </row>
    <row r="114" spans="1:14">
      <c r="A114" s="74"/>
      <c r="B114" s="88">
        <v>46090</v>
      </c>
      <c r="C114" s="58" t="s">
        <v>1184</v>
      </c>
      <c r="D114" s="12">
        <v>1416</v>
      </c>
      <c r="E114" s="58" t="s">
        <v>993</v>
      </c>
      <c r="F114" s="12">
        <v>1</v>
      </c>
      <c r="G114" s="12">
        <v>1</v>
      </c>
      <c r="H114" s="12">
        <v>1</v>
      </c>
      <c r="I114" s="12">
        <v>0</v>
      </c>
      <c r="J114" s="58">
        <v>1</v>
      </c>
      <c r="K114" s="67"/>
      <c r="L114" s="89" t="s">
        <v>1361</v>
      </c>
      <c r="M114" s="67"/>
    </row>
    <row r="115" spans="1:14">
      <c r="A115" s="74"/>
      <c r="B115" s="88">
        <v>46090</v>
      </c>
      <c r="C115" s="58" t="s">
        <v>1184</v>
      </c>
      <c r="D115" s="12">
        <v>1415</v>
      </c>
      <c r="E115" s="58" t="s">
        <v>992</v>
      </c>
      <c r="F115" s="12">
        <v>0</v>
      </c>
      <c r="G115" s="12">
        <v>0</v>
      </c>
      <c r="H115" s="12">
        <v>1</v>
      </c>
      <c r="I115" s="12">
        <v>0</v>
      </c>
      <c r="J115" s="58">
        <v>1</v>
      </c>
      <c r="K115" s="67"/>
      <c r="L115" s="89" t="s">
        <v>1361</v>
      </c>
      <c r="M115" s="67"/>
    </row>
    <row r="116" spans="1:14" s="225" customFormat="1">
      <c r="A116" s="219"/>
      <c r="B116" s="220">
        <v>46090</v>
      </c>
      <c r="C116" s="221" t="s">
        <v>1184</v>
      </c>
      <c r="D116" s="222">
        <v>988</v>
      </c>
      <c r="E116" s="221" t="s">
        <v>905</v>
      </c>
      <c r="F116" s="222">
        <v>15</v>
      </c>
      <c r="G116" s="222">
        <v>12</v>
      </c>
      <c r="H116" s="222">
        <v>5</v>
      </c>
      <c r="I116" s="222">
        <v>0</v>
      </c>
      <c r="J116" s="221">
        <v>5</v>
      </c>
      <c r="K116" s="223"/>
      <c r="L116" s="224" t="s">
        <v>1374</v>
      </c>
      <c r="M116" s="223"/>
    </row>
    <row r="117" spans="1:14">
      <c r="A117" s="74"/>
      <c r="B117" s="88">
        <v>46087</v>
      </c>
      <c r="C117" s="58" t="s">
        <v>1184</v>
      </c>
      <c r="D117" s="12">
        <v>24518</v>
      </c>
      <c r="E117" s="58" t="s">
        <v>553</v>
      </c>
      <c r="F117" s="12">
        <v>35</v>
      </c>
      <c r="G117" s="12">
        <v>29</v>
      </c>
      <c r="H117" s="12">
        <v>16</v>
      </c>
      <c r="I117" s="12">
        <v>0</v>
      </c>
      <c r="J117" s="58">
        <v>16</v>
      </c>
      <c r="K117" s="67"/>
      <c r="L117" s="89"/>
      <c r="M117" s="67"/>
    </row>
    <row r="118" spans="1:14">
      <c r="A118" s="74"/>
      <c r="B118" s="88">
        <v>46087</v>
      </c>
      <c r="C118" s="58" t="s">
        <v>1184</v>
      </c>
      <c r="D118" s="12">
        <v>915</v>
      </c>
      <c r="E118" s="58" t="s">
        <v>537</v>
      </c>
      <c r="F118" s="12">
        <v>705</v>
      </c>
      <c r="G118" s="12">
        <v>965</v>
      </c>
      <c r="H118" s="12">
        <v>984</v>
      </c>
      <c r="I118" s="12">
        <v>300</v>
      </c>
      <c r="J118" s="58">
        <v>684</v>
      </c>
      <c r="K118" s="67"/>
      <c r="L118" s="89"/>
      <c r="M118" s="67"/>
    </row>
    <row r="119" spans="1:14" s="225" customFormat="1">
      <c r="A119" s="219"/>
      <c r="B119" s="220">
        <v>46087</v>
      </c>
      <c r="C119" s="221" t="s">
        <v>1184</v>
      </c>
      <c r="D119" s="222">
        <v>913</v>
      </c>
      <c r="E119" s="221" t="s">
        <v>529</v>
      </c>
      <c r="F119" s="222">
        <v>1484</v>
      </c>
      <c r="G119" s="222">
        <v>4759</v>
      </c>
      <c r="H119" s="222">
        <v>6844</v>
      </c>
      <c r="I119" s="222">
        <v>2000</v>
      </c>
      <c r="J119" s="221">
        <v>4844</v>
      </c>
      <c r="K119" s="223"/>
      <c r="L119" s="224"/>
      <c r="M119" s="223"/>
      <c r="N119" s="225" t="s">
        <v>1368</v>
      </c>
    </row>
    <row r="120" spans="1:14" hidden="1">
      <c r="A120" s="74"/>
      <c r="B120" s="88">
        <v>46086</v>
      </c>
      <c r="C120" s="58" t="s">
        <v>1182</v>
      </c>
      <c r="D120" s="12">
        <v>1056</v>
      </c>
      <c r="E120" s="58" t="s">
        <v>1092</v>
      </c>
      <c r="F120" s="12">
        <v>1</v>
      </c>
      <c r="G120" s="12">
        <v>1</v>
      </c>
      <c r="H120" s="12">
        <v>1</v>
      </c>
      <c r="I120" s="12">
        <v>0</v>
      </c>
      <c r="J120" s="58">
        <v>1</v>
      </c>
      <c r="K120" s="67"/>
      <c r="L120" s="89"/>
      <c r="M120" s="67"/>
    </row>
    <row r="121" spans="1:14" s="225" customFormat="1" hidden="1">
      <c r="A121" s="219"/>
      <c r="B121" s="220">
        <v>46086</v>
      </c>
      <c r="C121" s="221" t="s">
        <v>1182</v>
      </c>
      <c r="D121" s="222">
        <v>2242</v>
      </c>
      <c r="E121" s="221" t="s">
        <v>1094</v>
      </c>
      <c r="F121" s="222">
        <v>0</v>
      </c>
      <c r="G121" s="222">
        <v>1</v>
      </c>
      <c r="H121" s="222">
        <v>2</v>
      </c>
      <c r="I121" s="222">
        <v>0</v>
      </c>
      <c r="J121" s="221">
        <v>2</v>
      </c>
      <c r="K121" s="223" t="s">
        <v>1374</v>
      </c>
      <c r="L121" s="224"/>
      <c r="M121" s="223"/>
      <c r="N121" s="225" t="s">
        <v>1373</v>
      </c>
    </row>
    <row r="122" spans="1:14" hidden="1">
      <c r="A122" s="74"/>
      <c r="B122" s="191">
        <v>46086</v>
      </c>
      <c r="C122" s="192" t="s">
        <v>1182</v>
      </c>
      <c r="D122" s="193">
        <v>988</v>
      </c>
      <c r="E122" s="192" t="s">
        <v>905</v>
      </c>
      <c r="F122" s="193">
        <v>0</v>
      </c>
      <c r="G122" s="193">
        <v>2</v>
      </c>
      <c r="H122" s="193">
        <v>4</v>
      </c>
      <c r="I122" s="193">
        <v>0</v>
      </c>
      <c r="J122" s="192">
        <v>4</v>
      </c>
      <c r="K122" s="230"/>
      <c r="L122" s="231" t="s">
        <v>1374</v>
      </c>
      <c r="M122" s="230"/>
    </row>
    <row r="123" spans="1:14" hidden="1">
      <c r="A123" s="74"/>
      <c r="B123" s="88">
        <v>46064</v>
      </c>
      <c r="C123" s="58" t="s">
        <v>1194</v>
      </c>
      <c r="D123" s="12">
        <v>798</v>
      </c>
      <c r="E123" s="58" t="s">
        <v>559</v>
      </c>
      <c r="F123" s="12">
        <v>60</v>
      </c>
      <c r="G123" s="12">
        <v>120</v>
      </c>
      <c r="H123" s="12">
        <v>60</v>
      </c>
      <c r="I123" s="12">
        <v>0</v>
      </c>
      <c r="J123" s="58">
        <v>60</v>
      </c>
      <c r="K123" s="67"/>
      <c r="L123" s="89" t="s">
        <v>1374</v>
      </c>
      <c r="M123" s="67"/>
    </row>
    <row r="124" spans="1:14" hidden="1">
      <c r="A124" s="74"/>
      <c r="B124" s="88">
        <v>46064</v>
      </c>
      <c r="C124" s="58" t="s">
        <v>1188</v>
      </c>
      <c r="D124" s="12">
        <v>947</v>
      </c>
      <c r="E124" s="58" t="s">
        <v>710</v>
      </c>
      <c r="F124" s="12">
        <v>1260</v>
      </c>
      <c r="G124" s="12">
        <v>1127</v>
      </c>
      <c r="H124" s="12">
        <v>430</v>
      </c>
      <c r="I124" s="12">
        <v>0</v>
      </c>
      <c r="J124" s="58">
        <v>430</v>
      </c>
      <c r="K124" s="67"/>
      <c r="L124" s="89" t="s">
        <v>1374</v>
      </c>
      <c r="M124" s="67"/>
      <c r="N124" s="56" t="s">
        <v>1356</v>
      </c>
    </row>
    <row r="125" spans="1:14" hidden="1">
      <c r="A125" s="74"/>
      <c r="B125" s="88">
        <v>46083</v>
      </c>
      <c r="C125" s="58" t="s">
        <v>1191</v>
      </c>
      <c r="D125" s="12">
        <v>23748</v>
      </c>
      <c r="E125" s="58" t="s">
        <v>959</v>
      </c>
      <c r="F125" s="12">
        <v>0</v>
      </c>
      <c r="G125" s="12">
        <v>2</v>
      </c>
      <c r="H125" s="12">
        <v>2</v>
      </c>
      <c r="I125" s="12">
        <v>0</v>
      </c>
      <c r="J125" s="58">
        <v>2</v>
      </c>
      <c r="K125" s="67"/>
      <c r="L125" s="89"/>
      <c r="M125" s="67"/>
    </row>
    <row r="126" spans="1:14" hidden="1">
      <c r="A126" s="74"/>
      <c r="B126" s="88">
        <v>46083</v>
      </c>
      <c r="C126" s="58" t="s">
        <v>1191</v>
      </c>
      <c r="D126" s="12">
        <v>23748</v>
      </c>
      <c r="E126" s="58" t="s">
        <v>959</v>
      </c>
      <c r="F126" s="12">
        <v>0</v>
      </c>
      <c r="G126" s="12">
        <v>2</v>
      </c>
      <c r="H126" s="12">
        <v>2</v>
      </c>
      <c r="I126" s="12">
        <v>0</v>
      </c>
      <c r="J126" s="58">
        <v>2</v>
      </c>
      <c r="K126" s="67"/>
      <c r="L126" s="89"/>
      <c r="M126" s="67"/>
    </row>
    <row r="127" spans="1:14" hidden="1">
      <c r="A127" s="74"/>
      <c r="B127" s="88">
        <v>46083</v>
      </c>
      <c r="C127" s="58" t="s">
        <v>1191</v>
      </c>
      <c r="D127" s="12">
        <v>1239</v>
      </c>
      <c r="E127" s="58" t="s">
        <v>570</v>
      </c>
      <c r="F127" s="12">
        <v>1</v>
      </c>
      <c r="G127" s="12">
        <v>3</v>
      </c>
      <c r="H127" s="12">
        <v>2</v>
      </c>
      <c r="I127" s="12">
        <v>0</v>
      </c>
      <c r="J127" s="58">
        <v>2</v>
      </c>
      <c r="K127" s="67"/>
      <c r="L127" s="89"/>
      <c r="M127" s="67"/>
    </row>
    <row r="128" spans="1:14" hidden="1">
      <c r="A128" s="74"/>
      <c r="B128" s="88">
        <v>46083</v>
      </c>
      <c r="C128" s="58" t="s">
        <v>1193</v>
      </c>
      <c r="D128" s="12">
        <v>798</v>
      </c>
      <c r="E128" s="58" t="s">
        <v>559</v>
      </c>
      <c r="F128" s="12">
        <v>0</v>
      </c>
      <c r="G128" s="12">
        <v>80</v>
      </c>
      <c r="H128" s="12">
        <v>80</v>
      </c>
      <c r="I128" s="12">
        <v>0</v>
      </c>
      <c r="J128" s="58">
        <v>80</v>
      </c>
      <c r="K128" s="67"/>
      <c r="L128" s="89" t="s">
        <v>1361</v>
      </c>
      <c r="M128" s="67"/>
    </row>
    <row r="129" spans="1:14" hidden="1">
      <c r="A129" s="74"/>
      <c r="B129" s="88">
        <v>46083</v>
      </c>
      <c r="C129" s="58" t="s">
        <v>1193</v>
      </c>
      <c r="D129" s="12">
        <v>1239</v>
      </c>
      <c r="E129" s="58" t="s">
        <v>570</v>
      </c>
      <c r="F129" s="12">
        <v>0</v>
      </c>
      <c r="G129" s="12">
        <v>4</v>
      </c>
      <c r="H129" s="12">
        <v>2</v>
      </c>
      <c r="I129" s="12">
        <v>0</v>
      </c>
      <c r="J129" s="58">
        <v>2</v>
      </c>
      <c r="K129" s="67"/>
      <c r="L129" s="89"/>
      <c r="M129" s="67"/>
    </row>
    <row r="130" spans="1:14" hidden="1">
      <c r="A130" s="74"/>
      <c r="B130" s="88">
        <v>46078</v>
      </c>
      <c r="C130" s="58" t="s">
        <v>1193</v>
      </c>
      <c r="D130" s="12">
        <v>2242</v>
      </c>
      <c r="E130" s="58" t="s">
        <v>1094</v>
      </c>
      <c r="F130" s="12">
        <v>2</v>
      </c>
      <c r="G130" s="12">
        <v>9</v>
      </c>
      <c r="H130" s="12">
        <v>13</v>
      </c>
      <c r="I130" s="12">
        <v>0</v>
      </c>
      <c r="J130" s="58">
        <v>13</v>
      </c>
      <c r="K130" s="67"/>
      <c r="L130" s="89"/>
      <c r="M130" s="67"/>
    </row>
    <row r="131" spans="1:14" hidden="1">
      <c r="A131" s="74"/>
      <c r="B131" s="88">
        <v>46078</v>
      </c>
      <c r="C131" s="58" t="s">
        <v>1193</v>
      </c>
      <c r="D131" s="12">
        <v>1416</v>
      </c>
      <c r="E131" s="58" t="s">
        <v>993</v>
      </c>
      <c r="F131" s="12">
        <v>0</v>
      </c>
      <c r="G131" s="12">
        <v>1</v>
      </c>
      <c r="H131" s="12">
        <v>2</v>
      </c>
      <c r="I131" s="12">
        <v>0</v>
      </c>
      <c r="J131" s="58">
        <v>2</v>
      </c>
      <c r="K131" s="67"/>
      <c r="L131" s="89" t="s">
        <v>1374</v>
      </c>
      <c r="M131" s="67"/>
    </row>
    <row r="132" spans="1:14" hidden="1">
      <c r="A132" s="74"/>
      <c r="B132" s="88">
        <v>46078</v>
      </c>
      <c r="C132" s="58" t="s">
        <v>1193</v>
      </c>
      <c r="D132" s="12">
        <v>1415</v>
      </c>
      <c r="E132" s="58" t="s">
        <v>992</v>
      </c>
      <c r="F132" s="12">
        <v>0</v>
      </c>
      <c r="G132" s="12">
        <v>1</v>
      </c>
      <c r="H132" s="12">
        <v>2</v>
      </c>
      <c r="I132" s="12">
        <v>0</v>
      </c>
      <c r="J132" s="58">
        <v>2</v>
      </c>
      <c r="K132" s="67"/>
      <c r="L132" s="89" t="s">
        <v>1374</v>
      </c>
      <c r="M132" s="67"/>
    </row>
    <row r="133" spans="1:14" hidden="1">
      <c r="A133" s="74"/>
      <c r="B133" s="88">
        <v>46077</v>
      </c>
      <c r="C133" s="58" t="s">
        <v>1191</v>
      </c>
      <c r="D133" s="12">
        <v>558</v>
      </c>
      <c r="E133" s="58" t="s">
        <v>1085</v>
      </c>
      <c r="F133" s="12">
        <v>2</v>
      </c>
      <c r="G133" s="12">
        <v>9</v>
      </c>
      <c r="H133" s="12">
        <v>11</v>
      </c>
      <c r="I133" s="12">
        <v>0</v>
      </c>
      <c r="J133" s="58">
        <v>11</v>
      </c>
      <c r="K133" s="67"/>
      <c r="L133" s="89" t="s">
        <v>1361</v>
      </c>
      <c r="M133" s="67"/>
    </row>
    <row r="134" spans="1:14" hidden="1">
      <c r="A134" s="74"/>
      <c r="B134" s="88">
        <v>46077</v>
      </c>
      <c r="C134" s="58" t="s">
        <v>1191</v>
      </c>
      <c r="D134" s="12">
        <v>947</v>
      </c>
      <c r="E134" s="58" t="s">
        <v>710</v>
      </c>
      <c r="F134" s="12">
        <v>780</v>
      </c>
      <c r="G134" s="12">
        <v>810</v>
      </c>
      <c r="H134" s="12">
        <v>435</v>
      </c>
      <c r="I134" s="12">
        <v>0</v>
      </c>
      <c r="J134" s="58">
        <v>435</v>
      </c>
      <c r="K134" s="67"/>
      <c r="L134" s="89" t="s">
        <v>1361</v>
      </c>
      <c r="M134" s="67"/>
      <c r="N134" s="56" t="s">
        <v>1373</v>
      </c>
    </row>
    <row r="135" spans="1:14" hidden="1">
      <c r="A135" s="74"/>
      <c r="B135" s="88">
        <v>46076</v>
      </c>
      <c r="C135" s="58" t="s">
        <v>1189</v>
      </c>
      <c r="D135" s="12">
        <v>798</v>
      </c>
      <c r="E135" s="58" t="s">
        <v>559</v>
      </c>
      <c r="F135" s="12">
        <v>40</v>
      </c>
      <c r="G135" s="12">
        <v>44</v>
      </c>
      <c r="H135" s="12">
        <v>60</v>
      </c>
      <c r="I135" s="12">
        <v>0</v>
      </c>
      <c r="J135" s="58">
        <v>60</v>
      </c>
      <c r="K135" s="67"/>
      <c r="L135" s="89"/>
      <c r="M135" s="67"/>
    </row>
    <row r="136" spans="1:14" hidden="1">
      <c r="A136" s="74"/>
      <c r="B136" s="88">
        <v>46076</v>
      </c>
      <c r="C136" s="58" t="s">
        <v>1189</v>
      </c>
      <c r="D136" s="12">
        <v>1239</v>
      </c>
      <c r="E136" s="58" t="s">
        <v>570</v>
      </c>
      <c r="F136" s="12">
        <v>2</v>
      </c>
      <c r="G136" s="12">
        <v>0</v>
      </c>
      <c r="H136" s="12">
        <v>2</v>
      </c>
      <c r="I136" s="12">
        <v>0</v>
      </c>
      <c r="J136" s="58">
        <v>2</v>
      </c>
      <c r="K136" s="67"/>
      <c r="L136" s="89"/>
      <c r="M136" s="67"/>
    </row>
    <row r="137" spans="1:14" hidden="1">
      <c r="A137" s="74"/>
      <c r="B137" s="88">
        <v>46076</v>
      </c>
      <c r="C137" s="58" t="s">
        <v>1189</v>
      </c>
      <c r="D137" s="12">
        <v>22898</v>
      </c>
      <c r="E137" s="58" t="s">
        <v>1087</v>
      </c>
      <c r="F137" s="12">
        <v>0</v>
      </c>
      <c r="G137" s="12">
        <v>2</v>
      </c>
      <c r="H137" s="12">
        <v>4</v>
      </c>
      <c r="I137" s="12">
        <v>1</v>
      </c>
      <c r="J137" s="58">
        <v>3</v>
      </c>
      <c r="K137" s="213" t="s">
        <v>1361</v>
      </c>
      <c r="L137" s="89"/>
      <c r="M137" s="67"/>
    </row>
    <row r="138" spans="1:14" hidden="1">
      <c r="A138" s="74"/>
      <c r="B138" s="88">
        <v>46076</v>
      </c>
      <c r="C138" s="58" t="s">
        <v>1189</v>
      </c>
      <c r="D138" s="12">
        <v>25115</v>
      </c>
      <c r="E138" s="58" t="s">
        <v>1086</v>
      </c>
      <c r="F138" s="12">
        <v>19</v>
      </c>
      <c r="G138" s="12">
        <v>15</v>
      </c>
      <c r="H138" s="12">
        <v>7</v>
      </c>
      <c r="I138" s="12">
        <v>0</v>
      </c>
      <c r="J138" s="58">
        <v>7</v>
      </c>
      <c r="K138" s="67"/>
      <c r="L138" s="89" t="s">
        <v>1361</v>
      </c>
      <c r="M138" s="67"/>
    </row>
    <row r="139" spans="1:14" hidden="1">
      <c r="A139" s="74"/>
      <c r="B139" s="88">
        <v>46076</v>
      </c>
      <c r="C139" s="58" t="s">
        <v>1189</v>
      </c>
      <c r="D139" s="12">
        <v>224</v>
      </c>
      <c r="E139" s="58" t="s">
        <v>1077</v>
      </c>
      <c r="F139" s="12">
        <v>1</v>
      </c>
      <c r="G139" s="12">
        <v>11</v>
      </c>
      <c r="H139" s="12">
        <v>18</v>
      </c>
      <c r="I139" s="12">
        <v>0</v>
      </c>
      <c r="J139" s="58">
        <v>18</v>
      </c>
      <c r="K139" s="67"/>
      <c r="L139" s="89"/>
      <c r="M139" s="67"/>
    </row>
    <row r="140" spans="1:14" hidden="1">
      <c r="A140" s="74"/>
      <c r="B140" s="88">
        <v>46076</v>
      </c>
      <c r="C140" s="58" t="s">
        <v>1189</v>
      </c>
      <c r="D140" s="12">
        <v>22201</v>
      </c>
      <c r="E140" s="58" t="s">
        <v>1072</v>
      </c>
      <c r="F140" s="12">
        <v>1</v>
      </c>
      <c r="G140" s="12">
        <v>1</v>
      </c>
      <c r="H140" s="12">
        <v>1</v>
      </c>
      <c r="I140" s="12">
        <v>0</v>
      </c>
      <c r="J140" s="58">
        <v>1</v>
      </c>
      <c r="K140" s="67"/>
      <c r="L140" s="89" t="s">
        <v>1361</v>
      </c>
      <c r="M140" s="67"/>
    </row>
    <row r="141" spans="1:14" hidden="1">
      <c r="A141" s="74"/>
      <c r="B141" s="88">
        <v>46076</v>
      </c>
      <c r="C141" s="58" t="s">
        <v>1189</v>
      </c>
      <c r="D141" s="12">
        <v>2209</v>
      </c>
      <c r="E141" s="58" t="s">
        <v>1076</v>
      </c>
      <c r="F141" s="12">
        <v>7</v>
      </c>
      <c r="G141" s="12">
        <v>9</v>
      </c>
      <c r="H141" s="12">
        <v>10</v>
      </c>
      <c r="I141" s="12">
        <v>6</v>
      </c>
      <c r="J141" s="58">
        <v>4</v>
      </c>
      <c r="K141" s="67"/>
      <c r="L141" s="89"/>
      <c r="M141" s="67"/>
    </row>
    <row r="142" spans="1:14" hidden="1">
      <c r="A142" s="74"/>
      <c r="B142" s="88">
        <v>46076</v>
      </c>
      <c r="C142" s="58" t="s">
        <v>1189</v>
      </c>
      <c r="D142" s="12">
        <v>2209</v>
      </c>
      <c r="E142" s="58" t="s">
        <v>1076</v>
      </c>
      <c r="F142" s="12">
        <v>7</v>
      </c>
      <c r="G142" s="12">
        <v>9</v>
      </c>
      <c r="H142" s="12">
        <v>10</v>
      </c>
      <c r="I142" s="12">
        <v>6</v>
      </c>
      <c r="J142" s="58">
        <v>4</v>
      </c>
      <c r="K142" s="67"/>
      <c r="L142" s="89"/>
      <c r="M142" s="67"/>
    </row>
    <row r="143" spans="1:14" hidden="1">
      <c r="A143" s="74"/>
      <c r="B143" s="88">
        <v>46072</v>
      </c>
      <c r="C143" s="58" t="s">
        <v>1190</v>
      </c>
      <c r="D143" s="12">
        <v>988</v>
      </c>
      <c r="E143" s="58" t="s">
        <v>905</v>
      </c>
      <c r="F143" s="12">
        <v>3</v>
      </c>
      <c r="G143" s="12">
        <v>4</v>
      </c>
      <c r="H143" s="12">
        <v>5</v>
      </c>
      <c r="I143" s="12">
        <v>2</v>
      </c>
      <c r="J143" s="58">
        <v>3</v>
      </c>
      <c r="K143" s="67"/>
      <c r="L143" s="89" t="s">
        <v>1361</v>
      </c>
      <c r="M143" s="67"/>
    </row>
    <row r="144" spans="1:14" hidden="1">
      <c r="A144" s="74"/>
      <c r="B144" s="88">
        <v>46072</v>
      </c>
      <c r="C144" s="58" t="s">
        <v>1190</v>
      </c>
      <c r="D144" s="12">
        <v>947</v>
      </c>
      <c r="E144" s="58" t="s">
        <v>710</v>
      </c>
      <c r="F144" s="12">
        <v>60</v>
      </c>
      <c r="G144" s="12">
        <v>200</v>
      </c>
      <c r="H144" s="12">
        <v>290</v>
      </c>
      <c r="I144" s="12">
        <v>0</v>
      </c>
      <c r="J144" s="58">
        <v>290</v>
      </c>
      <c r="K144" s="67"/>
      <c r="L144" s="89" t="s">
        <v>1361</v>
      </c>
      <c r="M144" s="67"/>
    </row>
    <row r="145" spans="1:14" hidden="1">
      <c r="A145" s="74"/>
      <c r="B145" s="88">
        <v>46071</v>
      </c>
      <c r="C145" s="58" t="s">
        <v>1185</v>
      </c>
      <c r="D145" s="12">
        <v>1022</v>
      </c>
      <c r="E145" s="58" t="s">
        <v>1153</v>
      </c>
      <c r="F145" s="12">
        <v>9</v>
      </c>
      <c r="G145" s="12">
        <v>10</v>
      </c>
      <c r="H145" s="12">
        <v>10</v>
      </c>
      <c r="I145" s="12">
        <v>2</v>
      </c>
      <c r="J145" s="58">
        <v>8</v>
      </c>
      <c r="K145" s="67" t="s">
        <v>1361</v>
      </c>
      <c r="L145" s="89"/>
      <c r="M145" s="67"/>
    </row>
    <row r="146" spans="1:14" hidden="1">
      <c r="A146" s="74"/>
      <c r="B146" s="88">
        <v>46071</v>
      </c>
      <c r="C146" s="58" t="s">
        <v>1185</v>
      </c>
      <c r="D146" s="12">
        <v>558</v>
      </c>
      <c r="E146" s="58" t="s">
        <v>1085</v>
      </c>
      <c r="F146" s="12">
        <v>0</v>
      </c>
      <c r="G146" s="12">
        <v>10</v>
      </c>
      <c r="H146" s="12">
        <v>16</v>
      </c>
      <c r="I146" s="12">
        <v>0</v>
      </c>
      <c r="J146" s="58">
        <v>16</v>
      </c>
      <c r="K146" s="67"/>
      <c r="L146" s="89" t="s">
        <v>1361</v>
      </c>
      <c r="M146" s="67"/>
    </row>
    <row r="147" spans="1:14" hidden="1">
      <c r="A147" s="74"/>
      <c r="B147" s="88">
        <v>46071</v>
      </c>
      <c r="C147" s="58" t="s">
        <v>1185</v>
      </c>
      <c r="D147" s="12">
        <v>224</v>
      </c>
      <c r="E147" s="58" t="s">
        <v>1077</v>
      </c>
      <c r="F147" s="12">
        <v>0</v>
      </c>
      <c r="G147" s="12">
        <v>1</v>
      </c>
      <c r="H147" s="12">
        <v>1</v>
      </c>
      <c r="I147" s="12">
        <v>0</v>
      </c>
      <c r="J147" s="58">
        <v>1</v>
      </c>
      <c r="K147" s="67"/>
      <c r="L147" s="89"/>
      <c r="M147" s="67"/>
    </row>
    <row r="148" spans="1:14" hidden="1">
      <c r="A148" s="74"/>
      <c r="B148" s="88">
        <v>46071</v>
      </c>
      <c r="C148" s="58" t="s">
        <v>1185</v>
      </c>
      <c r="D148" s="12">
        <v>1239</v>
      </c>
      <c r="E148" s="58" t="s">
        <v>570</v>
      </c>
      <c r="F148" s="12">
        <v>1</v>
      </c>
      <c r="G148" s="12">
        <v>0</v>
      </c>
      <c r="H148" s="12">
        <v>4</v>
      </c>
      <c r="I148" s="12">
        <v>0</v>
      </c>
      <c r="J148" s="58">
        <v>4</v>
      </c>
      <c r="K148" s="67"/>
      <c r="L148" s="89"/>
      <c r="M148" s="67"/>
    </row>
    <row r="149" spans="1:14" hidden="1">
      <c r="A149" s="74"/>
      <c r="B149" s="88">
        <v>46071</v>
      </c>
      <c r="C149" s="58" t="s">
        <v>1185</v>
      </c>
      <c r="D149" s="12">
        <v>1415</v>
      </c>
      <c r="E149" s="58" t="s">
        <v>992</v>
      </c>
      <c r="F149" s="12">
        <v>0</v>
      </c>
      <c r="G149" s="12">
        <v>0</v>
      </c>
      <c r="H149" s="12">
        <v>1</v>
      </c>
      <c r="I149" s="12">
        <v>0</v>
      </c>
      <c r="J149" s="58">
        <v>1</v>
      </c>
      <c r="K149" s="67"/>
      <c r="L149" s="89" t="s">
        <v>1361</v>
      </c>
      <c r="M149" s="67"/>
    </row>
    <row r="150" spans="1:14" hidden="1">
      <c r="A150" s="74"/>
      <c r="B150" s="197">
        <v>46071</v>
      </c>
      <c r="C150" s="198" t="s">
        <v>1185</v>
      </c>
      <c r="D150" s="189">
        <v>947</v>
      </c>
      <c r="E150" s="198" t="s">
        <v>710</v>
      </c>
      <c r="F150" s="189">
        <v>1034</v>
      </c>
      <c r="G150" s="189">
        <v>1460</v>
      </c>
      <c r="H150" s="189">
        <v>2000</v>
      </c>
      <c r="I150" s="189">
        <v>0</v>
      </c>
      <c r="J150" s="198">
        <v>2000</v>
      </c>
      <c r="K150" s="67"/>
      <c r="L150" s="89"/>
      <c r="M150" s="67"/>
      <c r="N150" s="56" t="s">
        <v>1356</v>
      </c>
    </row>
    <row r="151" spans="1:14" hidden="1">
      <c r="A151" s="74"/>
      <c r="B151" s="197">
        <v>46071</v>
      </c>
      <c r="C151" s="198" t="s">
        <v>1185</v>
      </c>
      <c r="D151" s="189">
        <v>915</v>
      </c>
      <c r="E151" s="198" t="s">
        <v>537</v>
      </c>
      <c r="F151" s="189">
        <v>2648</v>
      </c>
      <c r="G151" s="189">
        <v>3375</v>
      </c>
      <c r="H151" s="189">
        <v>3090</v>
      </c>
      <c r="I151" s="189">
        <v>600</v>
      </c>
      <c r="J151" s="198">
        <v>2490</v>
      </c>
      <c r="K151" s="67"/>
      <c r="L151" s="89"/>
      <c r="M151" s="67"/>
    </row>
    <row r="152" spans="1:14" hidden="1">
      <c r="A152" s="74"/>
      <c r="B152" s="197">
        <v>46071</v>
      </c>
      <c r="C152" s="198" t="s">
        <v>1185</v>
      </c>
      <c r="D152" s="189">
        <v>252</v>
      </c>
      <c r="E152" s="198" t="s">
        <v>489</v>
      </c>
      <c r="F152" s="189">
        <v>5</v>
      </c>
      <c r="G152" s="189">
        <v>17</v>
      </c>
      <c r="H152" s="189">
        <v>30</v>
      </c>
      <c r="I152" s="189">
        <v>10</v>
      </c>
      <c r="J152" s="198">
        <v>20</v>
      </c>
      <c r="K152" s="67" t="s">
        <v>1361</v>
      </c>
      <c r="L152" s="89"/>
      <c r="M152" s="67"/>
    </row>
    <row r="153" spans="1:14" hidden="1">
      <c r="A153" s="74"/>
      <c r="B153" s="191">
        <v>46066</v>
      </c>
      <c r="C153" s="192" t="s">
        <v>1182</v>
      </c>
      <c r="D153" s="193">
        <v>337</v>
      </c>
      <c r="E153" s="192" t="s">
        <v>1124</v>
      </c>
      <c r="F153" s="193">
        <v>5</v>
      </c>
      <c r="G153" s="193">
        <v>0</v>
      </c>
      <c r="H153" s="193">
        <v>10</v>
      </c>
      <c r="I153" s="193">
        <v>0</v>
      </c>
      <c r="J153" s="192">
        <v>10</v>
      </c>
      <c r="K153" s="67"/>
      <c r="L153" s="89" t="s">
        <v>1361</v>
      </c>
      <c r="M153" s="67"/>
      <c r="N153" s="56" t="s">
        <v>1356</v>
      </c>
    </row>
    <row r="154" spans="1:14" hidden="1">
      <c r="A154" s="74"/>
      <c r="B154" s="191">
        <v>46066</v>
      </c>
      <c r="C154" s="192" t="s">
        <v>1182</v>
      </c>
      <c r="D154" s="193">
        <v>332</v>
      </c>
      <c r="E154" s="192" t="s">
        <v>1119</v>
      </c>
      <c r="F154" s="193">
        <v>8</v>
      </c>
      <c r="G154" s="193">
        <v>2</v>
      </c>
      <c r="H154" s="193">
        <v>3</v>
      </c>
      <c r="I154" s="193">
        <v>1</v>
      </c>
      <c r="J154" s="192">
        <v>2</v>
      </c>
      <c r="K154" s="67"/>
      <c r="L154" s="89" t="s">
        <v>1361</v>
      </c>
      <c r="M154" s="67"/>
      <c r="N154" s="56" t="s">
        <v>1356</v>
      </c>
    </row>
    <row r="155" spans="1:14" hidden="1">
      <c r="A155" s="74"/>
      <c r="B155" s="191">
        <v>46066</v>
      </c>
      <c r="C155" s="192" t="s">
        <v>1182</v>
      </c>
      <c r="D155" s="193">
        <v>1059</v>
      </c>
      <c r="E155" s="192" t="s">
        <v>728</v>
      </c>
      <c r="F155" s="193">
        <v>0</v>
      </c>
      <c r="G155" s="193">
        <v>12</v>
      </c>
      <c r="H155" s="193">
        <v>90</v>
      </c>
      <c r="I155" s="193">
        <v>30</v>
      </c>
      <c r="J155" s="192">
        <v>60</v>
      </c>
      <c r="K155" s="67"/>
      <c r="L155" s="89"/>
      <c r="M155" s="63"/>
    </row>
    <row r="156" spans="1:14" hidden="1">
      <c r="A156" s="74"/>
      <c r="B156" s="191">
        <v>46065</v>
      </c>
      <c r="C156" s="192" t="s">
        <v>1182</v>
      </c>
      <c r="D156" s="193">
        <v>227</v>
      </c>
      <c r="E156" s="192" t="s">
        <v>210</v>
      </c>
      <c r="F156" s="193">
        <v>4</v>
      </c>
      <c r="G156" s="193">
        <v>0</v>
      </c>
      <c r="H156" s="193">
        <v>5</v>
      </c>
      <c r="I156" s="193">
        <v>0</v>
      </c>
      <c r="J156" s="192">
        <v>5</v>
      </c>
      <c r="K156" s="67"/>
      <c r="L156" s="89" t="s">
        <v>1361</v>
      </c>
      <c r="M156" s="63"/>
      <c r="N156" s="56" t="s">
        <v>1356</v>
      </c>
    </row>
    <row r="157" spans="1:14" hidden="1">
      <c r="A157" s="74"/>
      <c r="B157" s="194">
        <v>46065</v>
      </c>
      <c r="C157" s="195" t="s">
        <v>1189</v>
      </c>
      <c r="D157" s="196">
        <v>798</v>
      </c>
      <c r="E157" s="195" t="s">
        <v>559</v>
      </c>
      <c r="F157" s="196">
        <v>70</v>
      </c>
      <c r="G157" s="196">
        <v>72</v>
      </c>
      <c r="H157" s="196">
        <v>70</v>
      </c>
      <c r="I157" s="196">
        <v>0</v>
      </c>
      <c r="J157" s="195">
        <v>70</v>
      </c>
      <c r="K157" s="67"/>
      <c r="L157" s="89"/>
      <c r="M157" s="63"/>
    </row>
    <row r="158" spans="1:14" hidden="1">
      <c r="A158" s="74"/>
      <c r="B158" s="170">
        <v>46064</v>
      </c>
      <c r="C158" s="135" t="s">
        <v>1188</v>
      </c>
      <c r="D158" s="134">
        <v>928</v>
      </c>
      <c r="E158" s="135" t="s">
        <v>635</v>
      </c>
      <c r="F158" s="134">
        <v>5</v>
      </c>
      <c r="G158" s="134">
        <v>33</v>
      </c>
      <c r="H158" s="134">
        <v>45</v>
      </c>
      <c r="I158" s="134">
        <v>0</v>
      </c>
      <c r="J158" s="135">
        <v>45</v>
      </c>
      <c r="K158" s="172"/>
      <c r="L158" s="89"/>
      <c r="M158" s="63"/>
      <c r="N158" s="56" t="s">
        <v>1367</v>
      </c>
    </row>
    <row r="159" spans="1:14" hidden="1">
      <c r="A159" s="74"/>
      <c r="B159" s="170">
        <v>46064</v>
      </c>
      <c r="C159" s="135" t="s">
        <v>1188</v>
      </c>
      <c r="D159" s="134">
        <v>50</v>
      </c>
      <c r="E159" s="135" t="s">
        <v>305</v>
      </c>
      <c r="F159" s="134">
        <v>35</v>
      </c>
      <c r="G159" s="134">
        <v>50</v>
      </c>
      <c r="H159" s="134">
        <v>120</v>
      </c>
      <c r="I159" s="134">
        <v>0</v>
      </c>
      <c r="J159" s="135">
        <v>120</v>
      </c>
      <c r="K159" s="172"/>
      <c r="L159" s="89"/>
      <c r="M159" s="63" t="s">
        <v>1361</v>
      </c>
      <c r="N159" s="56" t="s">
        <v>1366</v>
      </c>
    </row>
    <row r="160" spans="1:14" hidden="1">
      <c r="A160" s="74"/>
      <c r="B160" s="170">
        <v>46064</v>
      </c>
      <c r="C160" s="135" t="s">
        <v>1188</v>
      </c>
      <c r="D160" s="134">
        <v>1415</v>
      </c>
      <c r="E160" s="135" t="s">
        <v>992</v>
      </c>
      <c r="F160" s="134">
        <v>1</v>
      </c>
      <c r="G160" s="134">
        <v>1</v>
      </c>
      <c r="H160" s="134">
        <v>1</v>
      </c>
      <c r="I160" s="134">
        <v>0</v>
      </c>
      <c r="J160" s="135">
        <v>1</v>
      </c>
      <c r="K160" s="172"/>
      <c r="L160" s="89"/>
      <c r="M160" s="63"/>
      <c r="N160" s="173"/>
    </row>
    <row r="161" spans="1:14" hidden="1">
      <c r="A161" s="74"/>
      <c r="B161" s="170">
        <v>46064</v>
      </c>
      <c r="C161" s="135" t="s">
        <v>1188</v>
      </c>
      <c r="D161" s="134">
        <v>1108</v>
      </c>
      <c r="E161" s="135" t="s">
        <v>502</v>
      </c>
      <c r="F161" s="134">
        <v>0</v>
      </c>
      <c r="G161" s="134">
        <v>0</v>
      </c>
      <c r="H161" s="134">
        <v>5</v>
      </c>
      <c r="I161" s="134">
        <v>0</v>
      </c>
      <c r="J161" s="135">
        <v>5</v>
      </c>
      <c r="K161" s="63"/>
      <c r="L161" s="89" t="s">
        <v>1361</v>
      </c>
      <c r="M161" s="63"/>
      <c r="N161" s="174" t="s">
        <v>1356</v>
      </c>
    </row>
    <row r="162" spans="1:14" hidden="1">
      <c r="A162" s="74"/>
      <c r="B162" s="170">
        <v>46064</v>
      </c>
      <c r="C162" s="135" t="s">
        <v>1188</v>
      </c>
      <c r="D162" s="134">
        <v>1524</v>
      </c>
      <c r="E162" s="135" t="s">
        <v>42</v>
      </c>
      <c r="F162" s="134">
        <v>141</v>
      </c>
      <c r="G162" s="134">
        <v>186</v>
      </c>
      <c r="H162" s="134">
        <v>138</v>
      </c>
      <c r="I162" s="134">
        <v>0</v>
      </c>
      <c r="J162" s="135">
        <v>138</v>
      </c>
      <c r="K162" s="172"/>
      <c r="L162" s="89" t="s">
        <v>1361</v>
      </c>
      <c r="M162" s="63"/>
      <c r="N162" s="173" t="s">
        <v>1356</v>
      </c>
    </row>
    <row r="163" spans="1:14" hidden="1">
      <c r="A163" s="74"/>
      <c r="B163" s="158">
        <v>46062</v>
      </c>
      <c r="C163" s="159" t="s">
        <v>1191</v>
      </c>
      <c r="D163" s="160">
        <v>1179</v>
      </c>
      <c r="E163" s="159" t="s">
        <v>560</v>
      </c>
      <c r="F163" s="160">
        <v>0</v>
      </c>
      <c r="G163" s="160">
        <v>1</v>
      </c>
      <c r="H163" s="160">
        <v>1</v>
      </c>
      <c r="I163" s="160">
        <v>0</v>
      </c>
      <c r="J163" s="159">
        <v>1</v>
      </c>
      <c r="K163" s="67"/>
      <c r="L163" s="89"/>
      <c r="M163" s="63"/>
      <c r="N163" s="173"/>
    </row>
    <row r="164" spans="1:14" hidden="1">
      <c r="A164" s="74"/>
      <c r="B164" s="158">
        <v>46062</v>
      </c>
      <c r="C164" s="159" t="s">
        <v>1191</v>
      </c>
      <c r="D164" s="160">
        <v>1239</v>
      </c>
      <c r="E164" s="159" t="s">
        <v>570</v>
      </c>
      <c r="F164" s="160">
        <v>0</v>
      </c>
      <c r="G164" s="160">
        <v>3</v>
      </c>
      <c r="H164" s="160">
        <v>3</v>
      </c>
      <c r="I164" s="160">
        <v>0</v>
      </c>
      <c r="J164" s="159">
        <v>3</v>
      </c>
      <c r="K164" s="67"/>
      <c r="L164" s="89"/>
      <c r="M164" s="63"/>
      <c r="N164" s="173"/>
    </row>
    <row r="165" spans="1:14" hidden="1">
      <c r="A165" s="74"/>
      <c r="B165" s="98">
        <v>46062</v>
      </c>
      <c r="C165" s="100" t="s">
        <v>1198</v>
      </c>
      <c r="D165" s="99">
        <v>947</v>
      </c>
      <c r="E165" s="100" t="s">
        <v>710</v>
      </c>
      <c r="F165" s="99">
        <v>555</v>
      </c>
      <c r="G165" s="99">
        <v>775</v>
      </c>
      <c r="H165" s="99">
        <v>1000</v>
      </c>
      <c r="I165" s="99">
        <v>0</v>
      </c>
      <c r="J165" s="100">
        <v>1000</v>
      </c>
      <c r="K165" s="67"/>
      <c r="L165" s="89"/>
      <c r="M165" s="63"/>
      <c r="N165" s="173"/>
    </row>
    <row r="166" spans="1:14" s="211" customFormat="1">
      <c r="A166" s="212"/>
      <c r="B166" s="205">
        <v>46058</v>
      </c>
      <c r="C166" s="206" t="s">
        <v>1184</v>
      </c>
      <c r="D166" s="207">
        <v>227</v>
      </c>
      <c r="E166" s="206" t="s">
        <v>210</v>
      </c>
      <c r="F166" s="207">
        <v>0</v>
      </c>
      <c r="G166" s="207">
        <v>0</v>
      </c>
      <c r="H166" s="207">
        <v>2</v>
      </c>
      <c r="I166" s="207">
        <v>0</v>
      </c>
      <c r="J166" s="206">
        <v>2</v>
      </c>
      <c r="K166" s="208"/>
      <c r="L166" s="209"/>
      <c r="M166" s="208"/>
      <c r="N166" s="210" t="s">
        <v>1368</v>
      </c>
    </row>
    <row r="167" spans="1:14">
      <c r="A167" s="74"/>
      <c r="B167" s="161">
        <v>46058</v>
      </c>
      <c r="C167" s="162" t="s">
        <v>1184</v>
      </c>
      <c r="D167" s="163">
        <v>1415</v>
      </c>
      <c r="E167" s="162" t="s">
        <v>992</v>
      </c>
      <c r="F167" s="163">
        <v>0</v>
      </c>
      <c r="G167" s="163">
        <v>0</v>
      </c>
      <c r="H167" s="163">
        <v>1</v>
      </c>
      <c r="I167" s="163">
        <v>0</v>
      </c>
      <c r="J167" s="162">
        <v>1</v>
      </c>
      <c r="K167" s="67"/>
      <c r="L167" s="89"/>
      <c r="M167" s="63"/>
      <c r="N167" s="173"/>
    </row>
    <row r="168" spans="1:14">
      <c r="A168" s="74"/>
      <c r="B168" s="161">
        <v>46058</v>
      </c>
      <c r="C168" s="162" t="s">
        <v>1184</v>
      </c>
      <c r="D168" s="163">
        <v>1524</v>
      </c>
      <c r="E168" s="162" t="s">
        <v>42</v>
      </c>
      <c r="F168" s="163">
        <v>53</v>
      </c>
      <c r="G168" s="163">
        <v>133</v>
      </c>
      <c r="H168" s="163">
        <v>180</v>
      </c>
      <c r="I168" s="163">
        <v>0</v>
      </c>
      <c r="J168" s="162">
        <v>180</v>
      </c>
      <c r="K168" s="67"/>
      <c r="L168" s="214" t="s">
        <v>1361</v>
      </c>
      <c r="M168" s="63"/>
      <c r="N168" s="56" t="s">
        <v>1356</v>
      </c>
    </row>
    <row r="169" spans="1:14">
      <c r="A169" s="74"/>
      <c r="B169" s="199">
        <v>46058</v>
      </c>
      <c r="C169" s="200" t="s">
        <v>1184</v>
      </c>
      <c r="D169" s="201">
        <v>979</v>
      </c>
      <c r="E169" s="200" t="s">
        <v>838</v>
      </c>
      <c r="F169" s="201">
        <v>2</v>
      </c>
      <c r="G169" s="201">
        <v>2</v>
      </c>
      <c r="H169" s="201">
        <v>2</v>
      </c>
      <c r="I169" s="201">
        <v>0</v>
      </c>
      <c r="J169" s="200">
        <v>2</v>
      </c>
      <c r="K169" s="202"/>
      <c r="L169" s="203"/>
      <c r="M169" s="202"/>
      <c r="N169" s="204" t="s">
        <v>1356</v>
      </c>
    </row>
    <row r="170" spans="1:14">
      <c r="A170" s="74"/>
      <c r="B170" s="161">
        <v>46058</v>
      </c>
      <c r="C170" s="162" t="s">
        <v>1184</v>
      </c>
      <c r="D170" s="163">
        <v>947</v>
      </c>
      <c r="E170" s="162" t="s">
        <v>710</v>
      </c>
      <c r="F170" s="163">
        <v>1036</v>
      </c>
      <c r="G170" s="163">
        <v>845</v>
      </c>
      <c r="H170" s="163">
        <v>443</v>
      </c>
      <c r="I170" s="163">
        <v>0</v>
      </c>
      <c r="J170" s="162">
        <v>443</v>
      </c>
      <c r="K170" s="67"/>
      <c r="L170" s="89"/>
      <c r="M170" s="63"/>
      <c r="N170" s="56" t="s">
        <v>1356</v>
      </c>
    </row>
    <row r="171" spans="1:14" hidden="1">
      <c r="A171" s="74"/>
      <c r="B171" s="164">
        <v>46057</v>
      </c>
      <c r="C171" s="165" t="s">
        <v>1194</v>
      </c>
      <c r="D171" s="166">
        <v>1211</v>
      </c>
      <c r="E171" s="165" t="s">
        <v>950</v>
      </c>
      <c r="F171" s="166">
        <v>0</v>
      </c>
      <c r="G171" s="166">
        <v>60</v>
      </c>
      <c r="H171" s="166">
        <v>60</v>
      </c>
      <c r="I171" s="166">
        <v>20</v>
      </c>
      <c r="J171" s="165">
        <v>40</v>
      </c>
      <c r="K171" s="67"/>
      <c r="L171" s="89"/>
      <c r="M171" s="63"/>
    </row>
    <row r="172" spans="1:14" hidden="1">
      <c r="A172" s="74"/>
      <c r="B172" s="167">
        <v>46057</v>
      </c>
      <c r="C172" s="168" t="s">
        <v>1193</v>
      </c>
      <c r="D172" s="169">
        <v>1140</v>
      </c>
      <c r="E172" s="168" t="s">
        <v>565</v>
      </c>
      <c r="F172" s="169">
        <v>0</v>
      </c>
      <c r="G172" s="169">
        <v>20</v>
      </c>
      <c r="H172" s="169">
        <v>20</v>
      </c>
      <c r="I172" s="169">
        <v>0</v>
      </c>
      <c r="J172" s="168">
        <v>20</v>
      </c>
      <c r="K172" s="67"/>
      <c r="L172" s="89"/>
      <c r="M172" s="63"/>
    </row>
    <row r="173" spans="1:14" hidden="1">
      <c r="A173" s="74"/>
      <c r="B173" s="167">
        <v>46057</v>
      </c>
      <c r="C173" s="168" t="s">
        <v>1193</v>
      </c>
      <c r="D173" s="169">
        <v>798</v>
      </c>
      <c r="E173" s="168" t="s">
        <v>559</v>
      </c>
      <c r="F173" s="169">
        <v>60</v>
      </c>
      <c r="G173" s="169">
        <v>120</v>
      </c>
      <c r="H173" s="169">
        <v>60</v>
      </c>
      <c r="I173" s="169">
        <v>50</v>
      </c>
      <c r="J173" s="168">
        <v>10</v>
      </c>
      <c r="K173" s="67"/>
      <c r="L173" s="89"/>
      <c r="M173" s="63"/>
    </row>
    <row r="174" spans="1:14" hidden="1">
      <c r="A174" s="74"/>
      <c r="B174" s="167">
        <v>46057</v>
      </c>
      <c r="C174" s="168" t="s">
        <v>1193</v>
      </c>
      <c r="D174" s="169">
        <v>1242</v>
      </c>
      <c r="E174" s="168" t="s">
        <v>566</v>
      </c>
      <c r="F174" s="169">
        <v>1</v>
      </c>
      <c r="G174" s="169">
        <v>4</v>
      </c>
      <c r="H174" s="169">
        <v>3</v>
      </c>
      <c r="I174" s="169">
        <v>0</v>
      </c>
      <c r="J174" s="168">
        <v>3</v>
      </c>
      <c r="K174" s="67"/>
      <c r="L174" s="89"/>
      <c r="M174" s="63"/>
    </row>
    <row r="175" spans="1:14" hidden="1">
      <c r="A175" s="74"/>
      <c r="B175" s="164">
        <v>46057</v>
      </c>
      <c r="C175" s="165" t="s">
        <v>1194</v>
      </c>
      <c r="D175" s="166">
        <v>1241</v>
      </c>
      <c r="E175" s="165" t="s">
        <v>569</v>
      </c>
      <c r="F175" s="166">
        <v>1</v>
      </c>
      <c r="G175" s="166">
        <v>2</v>
      </c>
      <c r="H175" s="166">
        <v>1</v>
      </c>
      <c r="I175" s="166">
        <v>0</v>
      </c>
      <c r="J175" s="165">
        <v>1</v>
      </c>
      <c r="K175" s="67"/>
      <c r="L175" s="89"/>
      <c r="M175" s="63"/>
    </row>
    <row r="176" spans="1:14" hidden="1">
      <c r="A176" s="74"/>
      <c r="B176" s="164">
        <v>46057</v>
      </c>
      <c r="C176" s="165" t="s">
        <v>1194</v>
      </c>
      <c r="D176" s="166">
        <v>1239</v>
      </c>
      <c r="E176" s="165" t="s">
        <v>570</v>
      </c>
      <c r="F176" s="166">
        <v>2</v>
      </c>
      <c r="G176" s="166">
        <v>4</v>
      </c>
      <c r="H176" s="166">
        <v>2</v>
      </c>
      <c r="I176" s="166">
        <v>0</v>
      </c>
      <c r="J176" s="165">
        <v>2</v>
      </c>
      <c r="K176" s="67"/>
      <c r="L176" s="89"/>
      <c r="M176" s="63"/>
    </row>
    <row r="177" spans="1:13" hidden="1">
      <c r="A177" s="74"/>
      <c r="B177" s="167">
        <v>46056</v>
      </c>
      <c r="C177" s="168" t="s">
        <v>1193</v>
      </c>
      <c r="D177" s="169">
        <v>22727</v>
      </c>
      <c r="E177" s="168" t="s">
        <v>348</v>
      </c>
      <c r="F177" s="169">
        <v>0</v>
      </c>
      <c r="G177" s="169">
        <v>20</v>
      </c>
      <c r="H177" s="169">
        <v>200</v>
      </c>
      <c r="I177" s="169">
        <v>0</v>
      </c>
      <c r="J177" s="168">
        <v>200</v>
      </c>
      <c r="K177" s="67"/>
      <c r="L177" s="89"/>
      <c r="M177" s="63"/>
    </row>
    <row r="178" spans="1:13" hidden="1">
      <c r="A178" s="74"/>
      <c r="B178" s="167">
        <v>46056</v>
      </c>
      <c r="C178" s="168" t="s">
        <v>1193</v>
      </c>
      <c r="D178" s="169">
        <v>2242</v>
      </c>
      <c r="E178" s="168" t="s">
        <v>1094</v>
      </c>
      <c r="F178" s="169">
        <v>2</v>
      </c>
      <c r="G178" s="169">
        <v>7</v>
      </c>
      <c r="H178" s="169">
        <v>11</v>
      </c>
      <c r="I178" s="169">
        <v>5</v>
      </c>
      <c r="J178" s="168">
        <v>6</v>
      </c>
      <c r="K178" s="67"/>
      <c r="L178" s="89"/>
      <c r="M178" s="63"/>
    </row>
    <row r="179" spans="1:13" hidden="1">
      <c r="A179" s="74"/>
      <c r="B179" s="167">
        <v>46056</v>
      </c>
      <c r="C179" s="168" t="s">
        <v>1193</v>
      </c>
      <c r="D179" s="169">
        <v>1416</v>
      </c>
      <c r="E179" s="168" t="s">
        <v>993</v>
      </c>
      <c r="F179" s="169">
        <v>0</v>
      </c>
      <c r="G179" s="169">
        <v>1</v>
      </c>
      <c r="H179" s="169">
        <v>2</v>
      </c>
      <c r="I179" s="169">
        <v>1</v>
      </c>
      <c r="J179" s="168">
        <v>1</v>
      </c>
      <c r="K179" s="67"/>
      <c r="L179" s="89"/>
      <c r="M179" s="63"/>
    </row>
    <row r="180" spans="1:13" hidden="1">
      <c r="A180" s="74"/>
      <c r="B180" s="167">
        <v>46056</v>
      </c>
      <c r="C180" s="168" t="s">
        <v>1193</v>
      </c>
      <c r="D180" s="169">
        <v>1415</v>
      </c>
      <c r="E180" s="168" t="s">
        <v>992</v>
      </c>
      <c r="F180" s="169">
        <v>0</v>
      </c>
      <c r="G180" s="169">
        <v>1</v>
      </c>
      <c r="H180" s="169">
        <v>2</v>
      </c>
      <c r="I180" s="169">
        <v>0</v>
      </c>
      <c r="J180" s="168">
        <v>2</v>
      </c>
      <c r="K180" s="67"/>
      <c r="L180" s="89"/>
      <c r="M180" s="63"/>
    </row>
    <row r="181" spans="1:13" hidden="1">
      <c r="A181" s="74"/>
      <c r="B181" s="161">
        <v>46056</v>
      </c>
      <c r="C181" s="162" t="s">
        <v>1182</v>
      </c>
      <c r="D181" s="163">
        <v>337</v>
      </c>
      <c r="E181" s="162" t="s">
        <v>1124</v>
      </c>
      <c r="F181" s="163">
        <v>5</v>
      </c>
      <c r="G181" s="163">
        <v>0</v>
      </c>
      <c r="H181" s="163">
        <v>10</v>
      </c>
      <c r="I181" s="163">
        <v>0</v>
      </c>
      <c r="J181" s="162">
        <v>10</v>
      </c>
      <c r="K181" s="67"/>
      <c r="L181" s="89"/>
      <c r="M181" s="63"/>
    </row>
    <row r="182" spans="1:13" hidden="1">
      <c r="A182" s="74"/>
      <c r="B182" s="161">
        <v>46056</v>
      </c>
      <c r="C182" s="162" t="s">
        <v>1182</v>
      </c>
      <c r="D182" s="163">
        <v>1128</v>
      </c>
      <c r="E182" s="162" t="s">
        <v>796</v>
      </c>
      <c r="F182" s="163">
        <v>5</v>
      </c>
      <c r="G182" s="163">
        <v>0</v>
      </c>
      <c r="H182" s="163">
        <v>5</v>
      </c>
      <c r="I182" s="163">
        <v>2</v>
      </c>
      <c r="J182" s="162">
        <v>3</v>
      </c>
      <c r="K182" s="67"/>
      <c r="L182" s="89"/>
      <c r="M182" s="63"/>
    </row>
    <row r="183" spans="1:13" hidden="1">
      <c r="A183" s="74"/>
      <c r="B183" s="161">
        <v>46056</v>
      </c>
      <c r="C183" s="162" t="s">
        <v>1182</v>
      </c>
      <c r="D183" s="163">
        <v>1059</v>
      </c>
      <c r="E183" s="162" t="s">
        <v>728</v>
      </c>
      <c r="F183" s="163">
        <v>0</v>
      </c>
      <c r="G183" s="163">
        <v>12</v>
      </c>
      <c r="H183" s="163">
        <v>100</v>
      </c>
      <c r="I183" s="163">
        <v>1</v>
      </c>
      <c r="J183" s="162">
        <v>99</v>
      </c>
      <c r="K183" s="67"/>
      <c r="L183" s="89"/>
      <c r="M183" s="63"/>
    </row>
    <row r="184" spans="1:13" hidden="1">
      <c r="A184" s="74"/>
      <c r="B184" s="161">
        <v>46055</v>
      </c>
      <c r="C184" s="162" t="s">
        <v>1182</v>
      </c>
      <c r="D184" s="163">
        <v>200</v>
      </c>
      <c r="E184" s="162" t="s">
        <v>85</v>
      </c>
      <c r="F184" s="163">
        <v>0</v>
      </c>
      <c r="G184" s="163">
        <v>252</v>
      </c>
      <c r="H184" s="163">
        <v>1000</v>
      </c>
      <c r="I184" s="163">
        <v>0</v>
      </c>
      <c r="J184" s="162">
        <v>1000</v>
      </c>
      <c r="K184" s="67"/>
      <c r="L184" s="89"/>
      <c r="M184" s="63"/>
    </row>
    <row r="185" spans="1:13" hidden="1">
      <c r="A185" s="74"/>
      <c r="B185" s="161">
        <v>46055</v>
      </c>
      <c r="C185" s="162" t="s">
        <v>1182</v>
      </c>
      <c r="D185" s="163">
        <v>1524</v>
      </c>
      <c r="E185" s="162" t="s">
        <v>42</v>
      </c>
      <c r="F185" s="163">
        <v>92</v>
      </c>
      <c r="G185" s="163">
        <v>109</v>
      </c>
      <c r="H185" s="163">
        <v>100</v>
      </c>
      <c r="I185" s="163">
        <v>50</v>
      </c>
      <c r="J185" s="162">
        <v>50</v>
      </c>
      <c r="K185" s="67"/>
      <c r="L185" s="89"/>
      <c r="M185" s="63"/>
    </row>
    <row r="186" spans="1:13" hidden="1">
      <c r="A186" s="74"/>
      <c r="B186" s="88">
        <v>46050</v>
      </c>
      <c r="C186" s="58" t="s">
        <v>1191</v>
      </c>
      <c r="D186" s="12">
        <v>22201</v>
      </c>
      <c r="E186" s="58" t="s">
        <v>1072</v>
      </c>
      <c r="F186" s="12">
        <v>0</v>
      </c>
      <c r="G186" s="12">
        <v>1</v>
      </c>
      <c r="H186" s="12">
        <v>1</v>
      </c>
      <c r="I186" s="12">
        <v>0</v>
      </c>
      <c r="J186" s="58">
        <v>1</v>
      </c>
      <c r="K186" s="67"/>
      <c r="L186" s="89"/>
      <c r="M186" s="63"/>
    </row>
    <row r="187" spans="1:13" hidden="1">
      <c r="A187" s="74"/>
      <c r="B187" s="88">
        <v>46050</v>
      </c>
      <c r="C187" s="58" t="s">
        <v>1191</v>
      </c>
      <c r="D187" s="12">
        <v>558</v>
      </c>
      <c r="E187" s="58" t="s">
        <v>1085</v>
      </c>
      <c r="F187" s="12">
        <v>18</v>
      </c>
      <c r="G187" s="12">
        <v>14</v>
      </c>
      <c r="H187" s="12">
        <v>5</v>
      </c>
      <c r="I187" s="12">
        <v>0</v>
      </c>
      <c r="J187" s="58">
        <v>5</v>
      </c>
      <c r="K187" s="67"/>
      <c r="L187" s="89"/>
      <c r="M187" s="63"/>
    </row>
    <row r="188" spans="1:13" hidden="1">
      <c r="A188" s="74"/>
      <c r="B188" s="88">
        <v>46050</v>
      </c>
      <c r="C188" s="58" t="s">
        <v>1191</v>
      </c>
      <c r="D188" s="12">
        <v>224</v>
      </c>
      <c r="E188" s="58" t="s">
        <v>1077</v>
      </c>
      <c r="F188" s="12">
        <v>0</v>
      </c>
      <c r="G188" s="12">
        <v>15</v>
      </c>
      <c r="H188" s="12">
        <v>35</v>
      </c>
      <c r="I188" s="12">
        <v>0</v>
      </c>
      <c r="J188" s="58">
        <v>35</v>
      </c>
      <c r="K188" s="67"/>
      <c r="L188" s="89"/>
      <c r="M188" s="63"/>
    </row>
    <row r="189" spans="1:13" hidden="1">
      <c r="A189" s="74"/>
      <c r="B189" s="88">
        <v>46044</v>
      </c>
      <c r="C189" s="58" t="s">
        <v>1189</v>
      </c>
      <c r="D189" s="12">
        <v>22898</v>
      </c>
      <c r="E189" s="58" t="s">
        <v>1087</v>
      </c>
      <c r="F189" s="12">
        <v>0</v>
      </c>
      <c r="G189" s="12">
        <v>3</v>
      </c>
      <c r="H189" s="12">
        <v>5</v>
      </c>
      <c r="I189" s="12">
        <v>0</v>
      </c>
      <c r="J189" s="58">
        <v>5</v>
      </c>
      <c r="K189" s="67"/>
      <c r="L189" s="89"/>
      <c r="M189" s="63"/>
    </row>
    <row r="190" spans="1:13" hidden="1">
      <c r="A190" s="74"/>
      <c r="B190" s="88">
        <v>46044</v>
      </c>
      <c r="C190" s="58" t="s">
        <v>1189</v>
      </c>
      <c r="D190" s="12">
        <v>1545</v>
      </c>
      <c r="E190" s="58" t="s">
        <v>1137</v>
      </c>
      <c r="F190" s="12">
        <v>0</v>
      </c>
      <c r="G190" s="12">
        <v>4</v>
      </c>
      <c r="H190" s="12">
        <v>7</v>
      </c>
      <c r="I190" s="12">
        <v>0</v>
      </c>
      <c r="J190" s="58">
        <v>7</v>
      </c>
      <c r="K190" s="67"/>
      <c r="L190" s="89"/>
      <c r="M190" s="63"/>
    </row>
    <row r="191" spans="1:13" hidden="1">
      <c r="A191" s="74"/>
      <c r="B191" s="88">
        <v>46043</v>
      </c>
      <c r="C191" s="58" t="s">
        <v>1183</v>
      </c>
      <c r="D191" s="12">
        <v>200</v>
      </c>
      <c r="E191" s="58" t="s">
        <v>85</v>
      </c>
      <c r="F191" s="12">
        <v>4</v>
      </c>
      <c r="G191" s="12">
        <v>150</v>
      </c>
      <c r="H191" s="12">
        <v>300</v>
      </c>
      <c r="I191" s="12">
        <v>100</v>
      </c>
      <c r="J191" s="58">
        <v>200</v>
      </c>
      <c r="K191" s="67"/>
      <c r="L191" s="89"/>
      <c r="M191" s="63"/>
    </row>
    <row r="192" spans="1:13" hidden="1">
      <c r="A192" s="74"/>
      <c r="B192" s="88">
        <v>46042</v>
      </c>
      <c r="C192" s="58" t="s">
        <v>1183</v>
      </c>
      <c r="D192" s="12">
        <v>865</v>
      </c>
      <c r="E192" s="58" t="s">
        <v>113</v>
      </c>
      <c r="F192" s="12">
        <v>1320</v>
      </c>
      <c r="G192" s="12">
        <v>1033</v>
      </c>
      <c r="H192" s="12">
        <v>600</v>
      </c>
      <c r="I192" s="12">
        <v>300</v>
      </c>
      <c r="J192" s="58">
        <v>300</v>
      </c>
      <c r="K192" s="67"/>
      <c r="L192" s="89"/>
      <c r="M192" s="63"/>
    </row>
    <row r="193" spans="1:13" hidden="1">
      <c r="A193" s="74"/>
      <c r="B193" s="88">
        <v>46042</v>
      </c>
      <c r="C193" s="58" t="s">
        <v>1183</v>
      </c>
      <c r="D193" s="12">
        <v>227</v>
      </c>
      <c r="E193" s="58" t="s">
        <v>210</v>
      </c>
      <c r="F193" s="12">
        <v>2</v>
      </c>
      <c r="G193" s="12">
        <v>0</v>
      </c>
      <c r="H193" s="12">
        <v>5</v>
      </c>
      <c r="I193" s="12">
        <v>0</v>
      </c>
      <c r="J193" s="58">
        <v>5</v>
      </c>
      <c r="K193" s="67"/>
      <c r="L193" s="89"/>
      <c r="M193" s="63"/>
    </row>
    <row r="194" spans="1:13" hidden="1">
      <c r="A194" s="74"/>
      <c r="B194" s="88">
        <v>46042</v>
      </c>
      <c r="C194" s="58" t="s">
        <v>1183</v>
      </c>
      <c r="D194" s="12">
        <v>1524</v>
      </c>
      <c r="E194" s="58" t="s">
        <v>42</v>
      </c>
      <c r="F194" s="12">
        <v>100</v>
      </c>
      <c r="G194" s="12">
        <v>85</v>
      </c>
      <c r="H194" s="12">
        <v>100</v>
      </c>
      <c r="I194" s="12">
        <v>0</v>
      </c>
      <c r="J194" s="58">
        <v>100</v>
      </c>
      <c r="K194" s="67"/>
      <c r="L194" s="89"/>
      <c r="M194" s="63"/>
    </row>
    <row r="195" spans="1:13" hidden="1">
      <c r="A195" s="74"/>
      <c r="B195" s="88">
        <v>46041</v>
      </c>
      <c r="C195" s="58" t="s">
        <v>1182</v>
      </c>
      <c r="D195" s="12">
        <v>1524</v>
      </c>
      <c r="E195" s="58" t="s">
        <v>42</v>
      </c>
      <c r="F195" s="12">
        <v>31</v>
      </c>
      <c r="G195" s="12">
        <v>142</v>
      </c>
      <c r="H195" s="12">
        <v>60</v>
      </c>
      <c r="I195" s="12">
        <v>0</v>
      </c>
      <c r="J195" s="58">
        <v>60</v>
      </c>
      <c r="K195" s="67"/>
      <c r="L195" s="89"/>
      <c r="M195" s="63"/>
    </row>
    <row r="196" spans="1:13" hidden="1">
      <c r="A196" s="74"/>
      <c r="B196" s="88">
        <v>46041</v>
      </c>
      <c r="C196" s="58" t="s">
        <v>1182</v>
      </c>
      <c r="D196" s="12">
        <v>191</v>
      </c>
      <c r="E196" s="58" t="s">
        <v>46</v>
      </c>
      <c r="F196" s="12">
        <v>0</v>
      </c>
      <c r="G196" s="12">
        <v>22</v>
      </c>
      <c r="H196" s="12">
        <v>20</v>
      </c>
      <c r="I196" s="12">
        <v>0</v>
      </c>
      <c r="J196" s="58">
        <v>20</v>
      </c>
      <c r="K196" s="67"/>
      <c r="L196" s="89"/>
      <c r="M196" s="63"/>
    </row>
    <row r="197" spans="1:13" hidden="1">
      <c r="A197" s="74"/>
      <c r="B197" s="88">
        <v>46041</v>
      </c>
      <c r="C197" s="58" t="s">
        <v>1182</v>
      </c>
      <c r="D197" s="12">
        <v>553</v>
      </c>
      <c r="E197" s="58" t="s">
        <v>847</v>
      </c>
      <c r="F197" s="12">
        <v>180</v>
      </c>
      <c r="G197" s="12">
        <v>254</v>
      </c>
      <c r="H197" s="12">
        <v>300</v>
      </c>
      <c r="I197" s="12">
        <v>0</v>
      </c>
      <c r="J197" s="58">
        <v>300</v>
      </c>
      <c r="K197" s="67" t="s">
        <v>1349</v>
      </c>
      <c r="L197" s="89"/>
      <c r="M197" s="63"/>
    </row>
    <row r="198" spans="1:13" hidden="1">
      <c r="A198" s="74"/>
      <c r="B198" s="88">
        <v>46041</v>
      </c>
      <c r="C198" s="58" t="s">
        <v>1188</v>
      </c>
      <c r="D198" s="12">
        <v>1239</v>
      </c>
      <c r="E198" s="58" t="s">
        <v>570</v>
      </c>
      <c r="F198" s="12">
        <v>0</v>
      </c>
      <c r="G198" s="12">
        <v>1</v>
      </c>
      <c r="H198" s="12">
        <v>2</v>
      </c>
      <c r="I198" s="12">
        <v>0</v>
      </c>
      <c r="J198" s="58">
        <v>2</v>
      </c>
      <c r="K198" s="67"/>
      <c r="L198" s="89"/>
      <c r="M198" s="63"/>
    </row>
    <row r="199" spans="1:13" hidden="1">
      <c r="A199" s="74"/>
      <c r="B199" s="88">
        <v>46041</v>
      </c>
      <c r="C199" s="58" t="s">
        <v>1188</v>
      </c>
      <c r="D199" s="12">
        <v>1140</v>
      </c>
      <c r="E199" s="58" t="s">
        <v>565</v>
      </c>
      <c r="F199" s="12">
        <v>0</v>
      </c>
      <c r="G199" s="12">
        <v>5</v>
      </c>
      <c r="H199" s="12">
        <v>2</v>
      </c>
      <c r="I199" s="12">
        <v>0</v>
      </c>
      <c r="J199" s="58">
        <v>2</v>
      </c>
      <c r="K199" s="67"/>
      <c r="L199" s="89"/>
      <c r="M199" s="63"/>
    </row>
    <row r="200" spans="1:13" hidden="1">
      <c r="A200" s="74"/>
      <c r="B200" s="88">
        <v>46041</v>
      </c>
      <c r="C200" s="58" t="s">
        <v>1188</v>
      </c>
      <c r="D200" s="12">
        <v>1239</v>
      </c>
      <c r="E200" s="58" t="s">
        <v>570</v>
      </c>
      <c r="F200" s="12">
        <v>0</v>
      </c>
      <c r="G200" s="12">
        <v>2</v>
      </c>
      <c r="H200" s="12">
        <v>4</v>
      </c>
      <c r="I200" s="12">
        <v>0</v>
      </c>
      <c r="J200" s="58">
        <v>4</v>
      </c>
      <c r="K200" s="67"/>
      <c r="L200" s="89"/>
      <c r="M200" s="63"/>
    </row>
    <row r="201" spans="1:13" hidden="1">
      <c r="A201" s="74"/>
      <c r="B201" s="88">
        <v>46038</v>
      </c>
      <c r="C201" s="58" t="s">
        <v>1188</v>
      </c>
      <c r="D201" s="12">
        <v>254</v>
      </c>
      <c r="E201" s="58" t="s">
        <v>499</v>
      </c>
      <c r="F201" s="12">
        <v>232</v>
      </c>
      <c r="G201" s="12">
        <v>248</v>
      </c>
      <c r="H201" s="12">
        <v>400</v>
      </c>
      <c r="I201" s="12"/>
      <c r="J201" s="58">
        <v>400</v>
      </c>
      <c r="K201" s="67" t="s">
        <v>1344</v>
      </c>
      <c r="L201" s="89"/>
      <c r="M201" s="63"/>
    </row>
    <row r="202" spans="1:13" hidden="1">
      <c r="A202" s="74"/>
      <c r="B202" s="149">
        <v>46037</v>
      </c>
      <c r="C202" s="150" t="s">
        <v>1188</v>
      </c>
      <c r="D202" s="151">
        <v>979</v>
      </c>
      <c r="E202" s="150" t="s">
        <v>838</v>
      </c>
      <c r="F202" s="151">
        <v>0</v>
      </c>
      <c r="G202" s="151">
        <v>1</v>
      </c>
      <c r="H202" s="151">
        <v>2</v>
      </c>
      <c r="I202" s="151">
        <v>0</v>
      </c>
      <c r="J202" s="150">
        <v>2</v>
      </c>
      <c r="K202" s="67"/>
      <c r="L202" s="89"/>
      <c r="M202" s="63"/>
    </row>
    <row r="203" spans="1:13" hidden="1">
      <c r="A203" s="74"/>
      <c r="B203" s="149">
        <v>46037</v>
      </c>
      <c r="C203" s="150" t="s">
        <v>1188</v>
      </c>
      <c r="D203" s="151">
        <v>50</v>
      </c>
      <c r="E203" s="150" t="s">
        <v>305</v>
      </c>
      <c r="F203" s="151">
        <v>35</v>
      </c>
      <c r="G203" s="151">
        <v>50</v>
      </c>
      <c r="H203" s="151">
        <v>53</v>
      </c>
      <c r="I203" s="151">
        <v>0</v>
      </c>
      <c r="J203" s="150">
        <v>53</v>
      </c>
      <c r="K203" s="67"/>
      <c r="L203" s="89"/>
      <c r="M203" s="63"/>
    </row>
    <row r="204" spans="1:13" hidden="1">
      <c r="A204" s="74"/>
      <c r="B204" s="149">
        <v>46037</v>
      </c>
      <c r="C204" s="150" t="s">
        <v>1188</v>
      </c>
      <c r="D204" s="151">
        <v>880</v>
      </c>
      <c r="E204" s="150" t="s">
        <v>290</v>
      </c>
      <c r="F204" s="151">
        <v>0</v>
      </c>
      <c r="G204" s="151">
        <v>22</v>
      </c>
      <c r="H204" s="151">
        <v>38</v>
      </c>
      <c r="I204" s="151">
        <v>22</v>
      </c>
      <c r="J204" s="150">
        <v>16</v>
      </c>
      <c r="K204" s="67"/>
      <c r="L204" s="89"/>
      <c r="M204" s="63"/>
    </row>
    <row r="205" spans="1:13" hidden="1">
      <c r="A205" s="74"/>
      <c r="B205" s="149">
        <v>46037</v>
      </c>
      <c r="C205" s="150" t="s">
        <v>1188</v>
      </c>
      <c r="D205" s="151">
        <v>337</v>
      </c>
      <c r="E205" s="150" t="s">
        <v>1124</v>
      </c>
      <c r="F205" s="151">
        <v>0</v>
      </c>
      <c r="G205" s="151">
        <v>0</v>
      </c>
      <c r="H205" s="151">
        <v>2</v>
      </c>
      <c r="I205" s="151">
        <v>0</v>
      </c>
      <c r="J205" s="150">
        <v>2</v>
      </c>
      <c r="K205" s="67"/>
      <c r="L205" s="89"/>
      <c r="M205" s="63"/>
    </row>
    <row r="206" spans="1:13" hidden="1">
      <c r="A206" s="74"/>
      <c r="B206" s="149">
        <v>46037</v>
      </c>
      <c r="C206" s="150" t="s">
        <v>1188</v>
      </c>
      <c r="D206" s="151">
        <v>1415</v>
      </c>
      <c r="E206" s="150" t="s">
        <v>992</v>
      </c>
      <c r="F206" s="151">
        <v>0</v>
      </c>
      <c r="G206" s="151">
        <v>1</v>
      </c>
      <c r="H206" s="151">
        <v>2</v>
      </c>
      <c r="I206" s="151">
        <v>0</v>
      </c>
      <c r="J206" s="150">
        <v>2</v>
      </c>
      <c r="K206" s="67"/>
      <c r="L206" s="89"/>
      <c r="M206" s="63"/>
    </row>
    <row r="207" spans="1:13" hidden="1">
      <c r="A207" s="74"/>
      <c r="B207" s="149">
        <v>46037</v>
      </c>
      <c r="C207" s="150" t="s">
        <v>1188</v>
      </c>
      <c r="D207" s="151">
        <v>1108</v>
      </c>
      <c r="E207" s="150" t="s">
        <v>502</v>
      </c>
      <c r="F207" s="151">
        <v>0</v>
      </c>
      <c r="G207" s="151">
        <v>0</v>
      </c>
      <c r="H207" s="151">
        <v>2</v>
      </c>
      <c r="I207" s="151">
        <v>0</v>
      </c>
      <c r="J207" s="150">
        <v>2</v>
      </c>
      <c r="K207" s="67"/>
      <c r="L207" s="89"/>
      <c r="M207" s="63"/>
    </row>
    <row r="208" spans="1:13" hidden="1">
      <c r="A208" s="74"/>
      <c r="B208" s="95">
        <v>46035</v>
      </c>
      <c r="C208" s="97" t="s">
        <v>1185</v>
      </c>
      <c r="D208" s="96">
        <v>22898</v>
      </c>
      <c r="E208" s="97" t="s">
        <v>1087</v>
      </c>
      <c r="F208" s="96">
        <v>0</v>
      </c>
      <c r="G208" s="96">
        <v>2</v>
      </c>
      <c r="H208" s="96">
        <v>3</v>
      </c>
      <c r="I208" s="96">
        <v>0</v>
      </c>
      <c r="J208" s="97">
        <v>3</v>
      </c>
      <c r="K208" s="67"/>
      <c r="L208" s="89"/>
      <c r="M208" s="63"/>
    </row>
    <row r="209" spans="1:13" hidden="1">
      <c r="A209" s="74"/>
      <c r="B209" s="95">
        <v>46035</v>
      </c>
      <c r="C209" s="97" t="s">
        <v>1185</v>
      </c>
      <c r="D209" s="96">
        <v>558</v>
      </c>
      <c r="E209" s="97" t="s">
        <v>1085</v>
      </c>
      <c r="F209" s="96">
        <v>2</v>
      </c>
      <c r="G209" s="96">
        <v>12</v>
      </c>
      <c r="H209" s="96">
        <v>17</v>
      </c>
      <c r="I209" s="96">
        <v>0</v>
      </c>
      <c r="J209" s="97">
        <v>17</v>
      </c>
      <c r="K209" s="67"/>
      <c r="L209" s="89"/>
      <c r="M209" s="63"/>
    </row>
    <row r="210" spans="1:13" hidden="1">
      <c r="A210" s="74"/>
      <c r="B210" s="95">
        <v>46035</v>
      </c>
      <c r="C210" s="97" t="s">
        <v>1185</v>
      </c>
      <c r="D210" s="96">
        <v>224</v>
      </c>
      <c r="E210" s="97" t="s">
        <v>1077</v>
      </c>
      <c r="F210" s="96">
        <v>3</v>
      </c>
      <c r="G210" s="96">
        <v>12</v>
      </c>
      <c r="H210" s="96">
        <v>17</v>
      </c>
      <c r="I210" s="96">
        <v>0</v>
      </c>
      <c r="J210" s="97">
        <v>17</v>
      </c>
      <c r="K210" s="67"/>
      <c r="L210" s="89"/>
      <c r="M210" s="63"/>
    </row>
    <row r="211" spans="1:13" hidden="1">
      <c r="A211" s="74"/>
      <c r="B211" s="95">
        <v>46035</v>
      </c>
      <c r="C211" s="97" t="s">
        <v>1185</v>
      </c>
      <c r="D211" s="96">
        <v>553</v>
      </c>
      <c r="E211" s="97" t="s">
        <v>847</v>
      </c>
      <c r="F211" s="96">
        <v>97</v>
      </c>
      <c r="G211" s="96">
        <v>153</v>
      </c>
      <c r="H211" s="96">
        <v>163</v>
      </c>
      <c r="I211" s="96">
        <v>100</v>
      </c>
      <c r="J211" s="97">
        <v>63</v>
      </c>
      <c r="K211" s="67"/>
      <c r="L211" s="89"/>
      <c r="M211" s="63"/>
    </row>
    <row r="212" spans="1:13" hidden="1">
      <c r="A212" s="74"/>
      <c r="B212" s="95">
        <v>46035</v>
      </c>
      <c r="C212" s="97" t="s">
        <v>1185</v>
      </c>
      <c r="D212" s="96">
        <v>979</v>
      </c>
      <c r="E212" s="97" t="s">
        <v>838</v>
      </c>
      <c r="F212" s="96">
        <v>0</v>
      </c>
      <c r="G212" s="96">
        <v>2</v>
      </c>
      <c r="H212" s="96">
        <v>3</v>
      </c>
      <c r="I212" s="96">
        <v>0</v>
      </c>
      <c r="J212" s="97">
        <v>3</v>
      </c>
      <c r="K212" s="67"/>
      <c r="L212" s="89"/>
      <c r="M212" s="63"/>
    </row>
    <row r="213" spans="1:13" hidden="1">
      <c r="A213" s="74"/>
      <c r="B213" s="95">
        <v>46034</v>
      </c>
      <c r="C213" s="97" t="s">
        <v>1185</v>
      </c>
      <c r="D213" s="96">
        <v>337</v>
      </c>
      <c r="E213" s="97" t="s">
        <v>1124</v>
      </c>
      <c r="F213" s="96">
        <v>0</v>
      </c>
      <c r="G213" s="96">
        <v>0</v>
      </c>
      <c r="H213" s="96">
        <v>2</v>
      </c>
      <c r="I213" s="96">
        <v>0</v>
      </c>
      <c r="J213" s="97">
        <v>2</v>
      </c>
      <c r="K213" s="67"/>
      <c r="L213" s="89"/>
      <c r="M213" s="63"/>
    </row>
    <row r="214" spans="1:13" hidden="1">
      <c r="A214" s="74"/>
      <c r="B214" s="95">
        <v>46034</v>
      </c>
      <c r="C214" s="97" t="s">
        <v>1185</v>
      </c>
      <c r="D214" s="96">
        <v>254</v>
      </c>
      <c r="E214" s="97" t="s">
        <v>499</v>
      </c>
      <c r="F214" s="96">
        <v>310</v>
      </c>
      <c r="G214" s="96">
        <v>824</v>
      </c>
      <c r="H214" s="96">
        <v>900</v>
      </c>
      <c r="I214" s="96"/>
      <c r="J214" s="97">
        <v>900</v>
      </c>
      <c r="K214" s="67" t="s">
        <v>1346</v>
      </c>
      <c r="L214" s="89"/>
      <c r="M214" s="63"/>
    </row>
    <row r="215" spans="1:13" hidden="1">
      <c r="A215" s="74"/>
      <c r="B215" s="95">
        <v>46034</v>
      </c>
      <c r="C215" s="97" t="s">
        <v>1185</v>
      </c>
      <c r="D215" s="96">
        <v>248</v>
      </c>
      <c r="E215" s="97" t="s">
        <v>273</v>
      </c>
      <c r="F215" s="96">
        <v>37</v>
      </c>
      <c r="G215" s="96">
        <v>58</v>
      </c>
      <c r="H215" s="96">
        <v>80</v>
      </c>
      <c r="I215" s="96">
        <v>50</v>
      </c>
      <c r="J215" s="97">
        <v>30</v>
      </c>
      <c r="K215" s="67"/>
      <c r="L215" s="89"/>
      <c r="M215" s="63"/>
    </row>
    <row r="216" spans="1:13" hidden="1">
      <c r="A216" s="74"/>
      <c r="B216" s="95">
        <v>46034</v>
      </c>
      <c r="C216" s="97" t="s">
        <v>1185</v>
      </c>
      <c r="D216" s="96">
        <v>227</v>
      </c>
      <c r="E216" s="97" t="s">
        <v>210</v>
      </c>
      <c r="F216" s="96">
        <v>0</v>
      </c>
      <c r="G216" s="96">
        <v>2</v>
      </c>
      <c r="H216" s="96">
        <v>3</v>
      </c>
      <c r="I216" s="96">
        <v>0</v>
      </c>
      <c r="J216" s="97">
        <v>3</v>
      </c>
      <c r="K216" s="67"/>
      <c r="L216" s="89"/>
      <c r="M216" s="63"/>
    </row>
    <row r="217" spans="1:13" hidden="1">
      <c r="A217" s="74"/>
      <c r="B217" s="95">
        <v>46034</v>
      </c>
      <c r="C217" s="97" t="s">
        <v>1185</v>
      </c>
      <c r="D217" s="96">
        <v>200</v>
      </c>
      <c r="E217" s="97" t="s">
        <v>85</v>
      </c>
      <c r="F217" s="96">
        <v>68</v>
      </c>
      <c r="G217" s="96">
        <v>343</v>
      </c>
      <c r="H217" s="96">
        <v>600</v>
      </c>
      <c r="I217" s="96">
        <v>500</v>
      </c>
      <c r="J217" s="97">
        <v>100</v>
      </c>
      <c r="K217" s="67"/>
      <c r="L217" s="89"/>
      <c r="M217" s="63"/>
    </row>
    <row r="218" spans="1:13">
      <c r="A218" s="74"/>
      <c r="B218" s="110">
        <v>46031</v>
      </c>
      <c r="C218" s="112" t="s">
        <v>1184</v>
      </c>
      <c r="D218" s="111">
        <v>979</v>
      </c>
      <c r="E218" s="112" t="s">
        <v>838</v>
      </c>
      <c r="F218" s="111">
        <v>2</v>
      </c>
      <c r="G218" s="111">
        <v>4</v>
      </c>
      <c r="H218" s="111">
        <v>4</v>
      </c>
      <c r="I218" s="111">
        <v>0</v>
      </c>
      <c r="J218" s="112">
        <v>4</v>
      </c>
      <c r="K218" s="67"/>
      <c r="L218" s="89"/>
      <c r="M218" s="63"/>
    </row>
    <row r="219" spans="1:13">
      <c r="A219" s="74"/>
      <c r="B219" s="110">
        <v>46031</v>
      </c>
      <c r="C219" s="112" t="s">
        <v>1184</v>
      </c>
      <c r="D219" s="111">
        <v>856</v>
      </c>
      <c r="E219" s="112" t="s">
        <v>77</v>
      </c>
      <c r="F219" s="111">
        <v>3415</v>
      </c>
      <c r="G219" s="111">
        <v>3922</v>
      </c>
      <c r="H219" s="111">
        <v>3449</v>
      </c>
      <c r="I219" s="111">
        <v>1500</v>
      </c>
      <c r="J219" s="112">
        <v>1949</v>
      </c>
      <c r="K219" s="67"/>
      <c r="L219" s="89"/>
      <c r="M219" s="63"/>
    </row>
    <row r="220" spans="1:13">
      <c r="A220" s="74"/>
      <c r="B220" s="110">
        <v>46031</v>
      </c>
      <c r="C220" s="112" t="s">
        <v>1184</v>
      </c>
      <c r="D220" s="111">
        <v>856</v>
      </c>
      <c r="E220" s="112" t="s">
        <v>77</v>
      </c>
      <c r="F220" s="111">
        <v>3415</v>
      </c>
      <c r="G220" s="111">
        <v>3922</v>
      </c>
      <c r="H220" s="111">
        <v>3449</v>
      </c>
      <c r="I220" s="111">
        <v>1500</v>
      </c>
      <c r="J220" s="112">
        <v>1949</v>
      </c>
      <c r="K220" s="67"/>
      <c r="L220" s="89"/>
      <c r="M220" s="63"/>
    </row>
    <row r="221" spans="1:13">
      <c r="A221" s="74"/>
      <c r="B221" s="110">
        <v>46030</v>
      </c>
      <c r="C221" s="112" t="s">
        <v>1184</v>
      </c>
      <c r="D221" s="111">
        <v>1415</v>
      </c>
      <c r="E221" s="112" t="s">
        <v>992</v>
      </c>
      <c r="F221" s="111">
        <v>0</v>
      </c>
      <c r="G221" s="111">
        <v>1</v>
      </c>
      <c r="H221" s="111">
        <v>1</v>
      </c>
      <c r="I221" s="111">
        <v>0</v>
      </c>
      <c r="J221" s="112">
        <v>1</v>
      </c>
      <c r="K221" s="67"/>
      <c r="L221" s="89"/>
      <c r="M221" s="63"/>
    </row>
    <row r="222" spans="1:13">
      <c r="A222" s="74"/>
      <c r="B222" s="110">
        <v>46030</v>
      </c>
      <c r="C222" s="112" t="s">
        <v>1184</v>
      </c>
      <c r="D222" s="111">
        <v>1524</v>
      </c>
      <c r="E222" s="112" t="s">
        <v>42</v>
      </c>
      <c r="F222" s="111">
        <v>20</v>
      </c>
      <c r="G222" s="111">
        <v>166</v>
      </c>
      <c r="H222" s="111">
        <v>270</v>
      </c>
      <c r="I222" s="111">
        <v>0</v>
      </c>
      <c r="J222" s="112">
        <v>270</v>
      </c>
      <c r="K222" s="67"/>
      <c r="L222" s="89"/>
      <c r="M222" s="63"/>
    </row>
    <row r="223" spans="1:13" hidden="1">
      <c r="A223" s="74"/>
      <c r="B223" s="152">
        <v>46029</v>
      </c>
      <c r="C223" s="153" t="s">
        <v>1198</v>
      </c>
      <c r="D223" s="154">
        <v>266</v>
      </c>
      <c r="E223" s="153" t="s">
        <v>661</v>
      </c>
      <c r="F223" s="154">
        <v>8</v>
      </c>
      <c r="G223" s="154">
        <v>10</v>
      </c>
      <c r="H223" s="154">
        <v>10</v>
      </c>
      <c r="I223" s="154">
        <v>0</v>
      </c>
      <c r="J223" s="153">
        <v>10</v>
      </c>
      <c r="K223" s="67"/>
      <c r="L223" s="89"/>
      <c r="M223" s="63"/>
    </row>
    <row r="224" spans="1:13" hidden="1">
      <c r="A224" s="74"/>
      <c r="B224" s="152">
        <v>46029</v>
      </c>
      <c r="C224" s="153" t="s">
        <v>1198</v>
      </c>
      <c r="D224" s="154">
        <v>254</v>
      </c>
      <c r="E224" s="153" t="s">
        <v>499</v>
      </c>
      <c r="F224" s="154">
        <v>450</v>
      </c>
      <c r="G224" s="154">
        <v>867</v>
      </c>
      <c r="H224" s="154">
        <v>1000</v>
      </c>
      <c r="I224" s="154">
        <v>400</v>
      </c>
      <c r="J224" s="153">
        <v>600</v>
      </c>
      <c r="K224" s="67" t="s">
        <v>1345</v>
      </c>
      <c r="L224" s="89"/>
      <c r="M224" s="63"/>
    </row>
    <row r="225" spans="1:13" hidden="1">
      <c r="A225" s="74"/>
      <c r="B225" s="152">
        <v>46029</v>
      </c>
      <c r="C225" s="153" t="s">
        <v>1198</v>
      </c>
      <c r="D225" s="154">
        <v>247</v>
      </c>
      <c r="E225" s="153" t="s">
        <v>272</v>
      </c>
      <c r="F225" s="154">
        <v>0</v>
      </c>
      <c r="G225" s="154">
        <v>9</v>
      </c>
      <c r="H225" s="154">
        <v>15</v>
      </c>
      <c r="I225" s="154">
        <v>3</v>
      </c>
      <c r="J225" s="153">
        <v>12</v>
      </c>
      <c r="K225" s="67"/>
      <c r="L225" s="89"/>
      <c r="M225" s="63"/>
    </row>
    <row r="226" spans="1:13" hidden="1">
      <c r="A226" s="74"/>
      <c r="B226" s="152">
        <v>46029</v>
      </c>
      <c r="C226" s="153" t="s">
        <v>1198</v>
      </c>
      <c r="D226" s="154">
        <v>558</v>
      </c>
      <c r="E226" s="153" t="s">
        <v>1085</v>
      </c>
      <c r="F226" s="154">
        <v>15</v>
      </c>
      <c r="G226" s="154">
        <v>12</v>
      </c>
      <c r="H226" s="154">
        <v>10</v>
      </c>
      <c r="I226" s="154">
        <v>0</v>
      </c>
      <c r="J226" s="153">
        <v>10</v>
      </c>
      <c r="K226" s="67"/>
      <c r="L226" s="89"/>
      <c r="M226" s="63"/>
    </row>
    <row r="227" spans="1:13" hidden="1">
      <c r="A227" s="74"/>
      <c r="B227" s="104">
        <v>46029</v>
      </c>
      <c r="C227" s="106" t="s">
        <v>1193</v>
      </c>
      <c r="D227" s="105">
        <v>254</v>
      </c>
      <c r="E227" s="106" t="s">
        <v>499</v>
      </c>
      <c r="F227" s="105">
        <v>50</v>
      </c>
      <c r="G227" s="105">
        <v>50</v>
      </c>
      <c r="H227" s="105">
        <v>700</v>
      </c>
      <c r="I227" s="105">
        <v>300</v>
      </c>
      <c r="J227" s="106">
        <v>400</v>
      </c>
      <c r="K227" s="67" t="s">
        <v>1344</v>
      </c>
      <c r="L227" s="89"/>
      <c r="M227" s="63"/>
    </row>
    <row r="228" spans="1:13" hidden="1">
      <c r="A228" s="74"/>
      <c r="B228" s="155">
        <v>46029</v>
      </c>
      <c r="C228" s="156" t="s">
        <v>1183</v>
      </c>
      <c r="D228" s="157">
        <v>928</v>
      </c>
      <c r="E228" s="156" t="s">
        <v>635</v>
      </c>
      <c r="F228" s="157">
        <v>0</v>
      </c>
      <c r="G228" s="157">
        <v>0</v>
      </c>
      <c r="H228" s="157">
        <v>100</v>
      </c>
      <c r="I228" s="157">
        <v>0</v>
      </c>
      <c r="J228" s="156">
        <v>100</v>
      </c>
      <c r="K228" s="67"/>
      <c r="L228" s="89"/>
      <c r="M228" s="63"/>
    </row>
    <row r="229" spans="1:13" hidden="1">
      <c r="A229" s="74"/>
      <c r="B229" s="155">
        <v>46028</v>
      </c>
      <c r="C229" s="156" t="s">
        <v>1183</v>
      </c>
      <c r="D229" s="157">
        <v>22822</v>
      </c>
      <c r="E229" s="156" t="e">
        <v>#N/A</v>
      </c>
      <c r="F229" s="157">
        <v>2</v>
      </c>
      <c r="G229" s="157">
        <v>2</v>
      </c>
      <c r="H229" s="157">
        <v>1</v>
      </c>
      <c r="I229" s="157">
        <v>0</v>
      </c>
      <c r="J229" s="156">
        <v>1</v>
      </c>
      <c r="K229" s="67"/>
      <c r="L229" s="89"/>
      <c r="M229" s="63"/>
    </row>
    <row r="230" spans="1:13" hidden="1">
      <c r="A230" s="74"/>
      <c r="B230" s="155">
        <v>46028</v>
      </c>
      <c r="C230" s="156" t="s">
        <v>1183</v>
      </c>
      <c r="D230" s="157">
        <v>337</v>
      </c>
      <c r="E230" s="156" t="s">
        <v>1124</v>
      </c>
      <c r="F230" s="157">
        <v>3</v>
      </c>
      <c r="G230" s="157">
        <v>2</v>
      </c>
      <c r="H230" s="157">
        <v>2</v>
      </c>
      <c r="I230" s="157">
        <v>0</v>
      </c>
      <c r="J230" s="156">
        <v>2</v>
      </c>
      <c r="K230" s="67"/>
      <c r="L230" s="89"/>
      <c r="M230" s="63"/>
    </row>
    <row r="231" spans="1:13" hidden="1">
      <c r="A231" s="74"/>
      <c r="B231" s="155">
        <v>46028</v>
      </c>
      <c r="C231" s="156" t="s">
        <v>1183</v>
      </c>
      <c r="D231" s="157">
        <v>1129</v>
      </c>
      <c r="E231" s="156" t="s">
        <v>795</v>
      </c>
      <c r="F231" s="157">
        <v>0</v>
      </c>
      <c r="G231" s="157">
        <v>0</v>
      </c>
      <c r="H231" s="157">
        <v>3</v>
      </c>
      <c r="I231" s="157">
        <v>0</v>
      </c>
      <c r="J231" s="156">
        <v>3</v>
      </c>
      <c r="K231" s="67"/>
      <c r="L231" s="89"/>
      <c r="M231" s="63"/>
    </row>
    <row r="232" spans="1:13" hidden="1">
      <c r="A232" s="74"/>
      <c r="B232" s="155">
        <v>46028</v>
      </c>
      <c r="C232" s="156" t="s">
        <v>1183</v>
      </c>
      <c r="D232" s="157">
        <v>236</v>
      </c>
      <c r="E232" s="156" t="s">
        <v>220</v>
      </c>
      <c r="F232" s="157">
        <v>0</v>
      </c>
      <c r="G232" s="157">
        <v>300</v>
      </c>
      <c r="H232" s="157">
        <v>600</v>
      </c>
      <c r="I232" s="157">
        <v>300</v>
      </c>
      <c r="J232" s="156">
        <v>300</v>
      </c>
      <c r="K232" s="67"/>
      <c r="L232" s="89"/>
      <c r="M232" s="63"/>
    </row>
    <row r="233" spans="1:13" hidden="1">
      <c r="A233" s="74"/>
      <c r="B233" s="88">
        <v>46028</v>
      </c>
      <c r="C233" s="58" t="s">
        <v>1182</v>
      </c>
      <c r="D233" s="12">
        <v>553</v>
      </c>
      <c r="E233" s="58" t="s">
        <v>847</v>
      </c>
      <c r="F233" s="12">
        <v>180</v>
      </c>
      <c r="G233" s="12">
        <v>254</v>
      </c>
      <c r="H233" s="12">
        <v>200</v>
      </c>
      <c r="I233" s="12">
        <v>100</v>
      </c>
      <c r="J233" s="58">
        <v>100</v>
      </c>
      <c r="K233" s="67"/>
      <c r="L233" s="89"/>
      <c r="M233" s="63"/>
    </row>
    <row r="234" spans="1:13" hidden="1">
      <c r="A234" s="74"/>
      <c r="B234" s="88">
        <v>46027</v>
      </c>
      <c r="C234" s="58" t="s">
        <v>1182</v>
      </c>
      <c r="D234" s="12">
        <v>1524</v>
      </c>
      <c r="E234" s="58" t="s">
        <v>42</v>
      </c>
      <c r="F234" s="12">
        <v>31</v>
      </c>
      <c r="G234" s="12">
        <v>142</v>
      </c>
      <c r="H234" s="12">
        <v>100</v>
      </c>
      <c r="I234" s="12">
        <v>50</v>
      </c>
      <c r="J234" s="58">
        <v>50</v>
      </c>
      <c r="K234" s="67"/>
      <c r="L234" s="89"/>
      <c r="M234" s="63"/>
    </row>
    <row r="235" spans="1:13" hidden="1">
      <c r="A235" s="74"/>
      <c r="B235" s="88">
        <v>46027</v>
      </c>
      <c r="C235" s="58"/>
      <c r="D235" s="12">
        <v>1415</v>
      </c>
      <c r="E235" s="58" t="s">
        <v>992</v>
      </c>
      <c r="F235" s="12">
        <v>0</v>
      </c>
      <c r="G235" s="12">
        <v>0</v>
      </c>
      <c r="H235" s="12">
        <v>2</v>
      </c>
      <c r="I235" s="12">
        <v>0</v>
      </c>
      <c r="J235" s="58">
        <v>2</v>
      </c>
      <c r="K235" s="67"/>
      <c r="L235" s="89"/>
      <c r="M235" s="63"/>
    </row>
    <row r="236" spans="1:13" hidden="1">
      <c r="A236" s="74"/>
      <c r="B236" s="88">
        <v>46027</v>
      </c>
      <c r="C236" s="58" t="s">
        <v>1194</v>
      </c>
      <c r="D236" s="12">
        <v>1385</v>
      </c>
      <c r="E236" s="58" t="s">
        <v>714</v>
      </c>
      <c r="F236" s="12">
        <v>0</v>
      </c>
      <c r="G236" s="12">
        <v>0</v>
      </c>
      <c r="H236" s="12">
        <v>300</v>
      </c>
      <c r="I236" s="12">
        <v>100</v>
      </c>
      <c r="J236" s="58">
        <v>200</v>
      </c>
      <c r="K236" s="67"/>
      <c r="L236" s="89"/>
      <c r="M236" s="63"/>
    </row>
    <row r="237" spans="1:13" hidden="1">
      <c r="A237" s="74"/>
      <c r="B237" s="88">
        <v>46024</v>
      </c>
      <c r="C237" s="58" t="s">
        <v>1193</v>
      </c>
      <c r="D237" s="12">
        <v>1415</v>
      </c>
      <c r="E237" s="58" t="s">
        <v>992</v>
      </c>
      <c r="F237" s="12">
        <v>0</v>
      </c>
      <c r="G237" s="12">
        <v>1</v>
      </c>
      <c r="H237" s="12">
        <v>2</v>
      </c>
      <c r="I237" s="12">
        <v>0</v>
      </c>
      <c r="J237" s="58">
        <v>2</v>
      </c>
      <c r="K237" s="67"/>
      <c r="L237" s="89"/>
      <c r="M237" s="63"/>
    </row>
    <row r="238" spans="1:13" hidden="1">
      <c r="A238" s="74"/>
      <c r="B238" s="88">
        <v>46021</v>
      </c>
      <c r="C238" s="58" t="s">
        <v>1191</v>
      </c>
      <c r="D238" s="12">
        <v>248</v>
      </c>
      <c r="E238" s="58" t="s">
        <v>273</v>
      </c>
      <c r="F238" s="12">
        <v>10</v>
      </c>
      <c r="G238" s="12">
        <v>29</v>
      </c>
      <c r="H238" s="12">
        <v>33</v>
      </c>
      <c r="I238" s="12">
        <v>6</v>
      </c>
      <c r="J238" s="58">
        <v>27</v>
      </c>
      <c r="K238" s="67"/>
      <c r="L238" s="89"/>
      <c r="M238" s="63"/>
    </row>
    <row r="239" spans="1:13" hidden="1">
      <c r="A239" s="74"/>
      <c r="B239" s="88">
        <v>46021</v>
      </c>
      <c r="C239" s="58" t="s">
        <v>1191</v>
      </c>
      <c r="D239" s="12">
        <v>247</v>
      </c>
      <c r="E239" s="58" t="s">
        <v>272</v>
      </c>
      <c r="F239" s="12">
        <v>45</v>
      </c>
      <c r="G239" s="12">
        <v>42</v>
      </c>
      <c r="H239" s="12">
        <v>33</v>
      </c>
      <c r="I239" s="12">
        <v>6</v>
      </c>
      <c r="J239" s="58">
        <v>27</v>
      </c>
      <c r="K239" s="67"/>
      <c r="L239" s="89"/>
      <c r="M239" s="63"/>
    </row>
    <row r="240" spans="1:13" hidden="1">
      <c r="A240" s="74"/>
      <c r="B240" s="88">
        <v>46020</v>
      </c>
      <c r="C240" s="58" t="s">
        <v>1189</v>
      </c>
      <c r="D240" s="12">
        <v>266</v>
      </c>
      <c r="E240" s="58" t="s">
        <v>661</v>
      </c>
      <c r="F240" s="12">
        <v>1000</v>
      </c>
      <c r="G240" s="12">
        <v>800</v>
      </c>
      <c r="H240" s="12">
        <v>1000</v>
      </c>
      <c r="I240" s="12">
        <v>0</v>
      </c>
      <c r="J240" s="58">
        <v>1000</v>
      </c>
      <c r="K240" s="67"/>
      <c r="L240" s="89"/>
      <c r="M240" s="63"/>
    </row>
    <row r="241" spans="1:13" s="127" customFormat="1" hidden="1">
      <c r="A241" s="124"/>
      <c r="B241" s="125">
        <v>46017</v>
      </c>
      <c r="C241" s="130" t="s">
        <v>1190</v>
      </c>
      <c r="D241" s="126">
        <v>266</v>
      </c>
      <c r="E241" s="127" t="s">
        <v>661</v>
      </c>
      <c r="F241" s="126">
        <v>0</v>
      </c>
      <c r="G241" s="126">
        <v>100</v>
      </c>
      <c r="H241" s="126">
        <v>175</v>
      </c>
      <c r="I241" s="126">
        <v>100</v>
      </c>
      <c r="J241" s="127">
        <v>75</v>
      </c>
      <c r="K241" s="128"/>
      <c r="L241" s="129"/>
      <c r="M241" s="171"/>
    </row>
    <row r="242" spans="1:13" hidden="1">
      <c r="A242" s="74"/>
      <c r="B242" s="95">
        <v>46017</v>
      </c>
      <c r="C242" s="97" t="s">
        <v>1182</v>
      </c>
      <c r="D242" s="96">
        <v>553</v>
      </c>
      <c r="E242" s="97" t="s">
        <v>847</v>
      </c>
      <c r="F242" s="96">
        <v>180</v>
      </c>
      <c r="G242" s="96">
        <v>254</v>
      </c>
      <c r="H242" s="96">
        <v>300</v>
      </c>
      <c r="I242" s="96">
        <v>200</v>
      </c>
      <c r="J242" s="97">
        <v>100</v>
      </c>
      <c r="K242" s="67"/>
      <c r="L242" s="89"/>
      <c r="M242" s="63"/>
    </row>
    <row r="243" spans="1:13" hidden="1">
      <c r="A243" s="74"/>
      <c r="B243" s="95">
        <v>46014</v>
      </c>
      <c r="C243" s="97" t="s">
        <v>1182</v>
      </c>
      <c r="D243" s="96">
        <v>1056</v>
      </c>
      <c r="E243" s="97" t="s">
        <v>1092</v>
      </c>
      <c r="F243" s="96">
        <v>0</v>
      </c>
      <c r="G243" s="96">
        <v>1</v>
      </c>
      <c r="H243" s="96">
        <v>1</v>
      </c>
      <c r="I243" s="96">
        <v>0</v>
      </c>
      <c r="J243" s="97">
        <v>1</v>
      </c>
      <c r="K243" s="67"/>
      <c r="L243" s="89"/>
      <c r="M243" s="63"/>
    </row>
    <row r="244" spans="1:13" hidden="1">
      <c r="A244" s="74"/>
      <c r="B244" s="95">
        <v>46014</v>
      </c>
      <c r="C244" s="97" t="s">
        <v>1182</v>
      </c>
      <c r="D244" s="96">
        <v>1128</v>
      </c>
      <c r="E244" s="97" t="s">
        <v>796</v>
      </c>
      <c r="F244" s="96">
        <v>5</v>
      </c>
      <c r="G244" s="96">
        <v>0</v>
      </c>
      <c r="H244" s="96">
        <v>5</v>
      </c>
      <c r="I244" s="96">
        <v>2</v>
      </c>
      <c r="J244" s="97">
        <v>3</v>
      </c>
      <c r="K244" s="67"/>
      <c r="L244" s="89"/>
      <c r="M244" s="63"/>
    </row>
    <row r="245" spans="1:13" hidden="1">
      <c r="A245" s="74"/>
      <c r="B245" s="95">
        <v>46014</v>
      </c>
      <c r="C245" s="97" t="s">
        <v>1182</v>
      </c>
      <c r="D245" s="96">
        <v>1129</v>
      </c>
      <c r="E245" s="97" t="s">
        <v>795</v>
      </c>
      <c r="F245" s="96">
        <v>5</v>
      </c>
      <c r="G245" s="96">
        <v>0</v>
      </c>
      <c r="H245" s="96">
        <v>5</v>
      </c>
      <c r="I245" s="96">
        <v>0</v>
      </c>
      <c r="J245" s="97">
        <v>5</v>
      </c>
      <c r="K245" s="67"/>
      <c r="L245" s="89"/>
      <c r="M245" s="63"/>
    </row>
    <row r="246" spans="1:13" hidden="1">
      <c r="A246" s="74"/>
      <c r="B246" s="95">
        <v>46014</v>
      </c>
      <c r="C246" s="97" t="s">
        <v>1182</v>
      </c>
      <c r="D246" s="96">
        <v>279</v>
      </c>
      <c r="E246" s="97" t="s">
        <v>716</v>
      </c>
      <c r="F246" s="96">
        <v>400</v>
      </c>
      <c r="G246" s="96">
        <v>333</v>
      </c>
      <c r="H246" s="96">
        <v>300</v>
      </c>
      <c r="I246" s="96">
        <v>100</v>
      </c>
      <c r="J246" s="97">
        <v>200</v>
      </c>
      <c r="K246" s="67"/>
      <c r="L246" s="89"/>
      <c r="M246" s="63"/>
    </row>
    <row r="247" spans="1:13" hidden="1">
      <c r="A247" s="74"/>
      <c r="B247" s="95">
        <v>46014</v>
      </c>
      <c r="C247" s="97" t="s">
        <v>1182</v>
      </c>
      <c r="D247" s="96">
        <v>1108</v>
      </c>
      <c r="E247" s="97" t="s">
        <v>502</v>
      </c>
      <c r="F247" s="96">
        <v>0</v>
      </c>
      <c r="G247" s="96">
        <v>19</v>
      </c>
      <c r="H247" s="96">
        <v>50</v>
      </c>
      <c r="I247" s="96">
        <v>0</v>
      </c>
      <c r="J247" s="97">
        <v>50</v>
      </c>
      <c r="K247" s="67"/>
      <c r="L247" s="89"/>
      <c r="M247" s="63"/>
    </row>
    <row r="248" spans="1:13" hidden="1">
      <c r="A248" s="74"/>
      <c r="B248" s="107">
        <v>46013</v>
      </c>
      <c r="C248" s="109" t="s">
        <v>1183</v>
      </c>
      <c r="D248" s="108">
        <v>553</v>
      </c>
      <c r="E248" s="109" t="s">
        <v>847</v>
      </c>
      <c r="F248" s="108">
        <v>70</v>
      </c>
      <c r="G248" s="108">
        <v>120</v>
      </c>
      <c r="H248" s="108">
        <v>200</v>
      </c>
      <c r="I248" s="108">
        <v>100</v>
      </c>
      <c r="J248" s="109">
        <v>100</v>
      </c>
      <c r="K248" s="67"/>
      <c r="L248" s="89"/>
      <c r="M248" s="63"/>
    </row>
    <row r="249" spans="1:13" hidden="1">
      <c r="A249" s="74"/>
      <c r="B249" s="107">
        <v>46013</v>
      </c>
      <c r="C249" s="109" t="s">
        <v>1183</v>
      </c>
      <c r="D249" s="108">
        <v>962</v>
      </c>
      <c r="E249" s="109" t="s">
        <v>815</v>
      </c>
      <c r="F249" s="108">
        <v>0</v>
      </c>
      <c r="G249" s="108">
        <v>4000</v>
      </c>
      <c r="H249" s="108">
        <v>7000</v>
      </c>
      <c r="I249" s="108">
        <v>4200</v>
      </c>
      <c r="J249" s="109">
        <v>2800</v>
      </c>
      <c r="K249" s="67"/>
      <c r="L249" s="89"/>
      <c r="M249" s="63"/>
    </row>
    <row r="250" spans="1:13" hidden="1">
      <c r="A250" s="74"/>
      <c r="B250" s="107">
        <v>46013</v>
      </c>
      <c r="C250" s="109" t="s">
        <v>1183</v>
      </c>
      <c r="D250" s="108">
        <v>337</v>
      </c>
      <c r="E250" s="109" t="s">
        <v>1124</v>
      </c>
      <c r="F250" s="108">
        <v>0</v>
      </c>
      <c r="G250" s="108">
        <v>2</v>
      </c>
      <c r="H250" s="108">
        <v>2</v>
      </c>
      <c r="I250" s="108">
        <v>0</v>
      </c>
      <c r="J250" s="109">
        <v>2</v>
      </c>
      <c r="K250" s="67"/>
      <c r="L250" s="89"/>
      <c r="M250" s="63"/>
    </row>
    <row r="251" spans="1:13" hidden="1">
      <c r="A251" s="74"/>
      <c r="B251" s="107">
        <v>46013</v>
      </c>
      <c r="C251" s="109" t="s">
        <v>1183</v>
      </c>
      <c r="D251" s="108">
        <v>279</v>
      </c>
      <c r="E251" s="109" t="s">
        <v>716</v>
      </c>
      <c r="F251" s="108">
        <v>4</v>
      </c>
      <c r="G251" s="108">
        <v>2</v>
      </c>
      <c r="H251" s="108">
        <v>5</v>
      </c>
      <c r="I251" s="108">
        <v>3</v>
      </c>
      <c r="J251" s="109">
        <v>2</v>
      </c>
      <c r="K251" s="67"/>
      <c r="L251" s="89"/>
      <c r="M251" s="63"/>
    </row>
    <row r="252" spans="1:13" hidden="1">
      <c r="A252" s="74"/>
      <c r="B252" s="113">
        <v>46010</v>
      </c>
      <c r="C252" s="115" t="s">
        <v>1188</v>
      </c>
      <c r="D252" s="114">
        <v>1239</v>
      </c>
      <c r="E252" s="115" t="s">
        <v>570</v>
      </c>
      <c r="F252" s="114">
        <v>1</v>
      </c>
      <c r="G252" s="114">
        <v>1</v>
      </c>
      <c r="H252" s="114">
        <v>1</v>
      </c>
      <c r="I252" s="114">
        <v>0</v>
      </c>
      <c r="J252" s="115">
        <v>1</v>
      </c>
      <c r="K252" s="67" t="s">
        <v>1327</v>
      </c>
      <c r="L252" s="89"/>
      <c r="M252" s="63"/>
    </row>
    <row r="253" spans="1:13" hidden="1">
      <c r="A253" s="74"/>
      <c r="B253" s="113">
        <v>46010</v>
      </c>
      <c r="C253" s="115" t="s">
        <v>1188</v>
      </c>
      <c r="D253" s="114">
        <v>1239</v>
      </c>
      <c r="E253" s="115" t="s">
        <v>570</v>
      </c>
      <c r="F253" s="114">
        <v>3</v>
      </c>
      <c r="G253" s="114">
        <v>10</v>
      </c>
      <c r="H253" s="114">
        <v>3</v>
      </c>
      <c r="I253" s="114">
        <v>0</v>
      </c>
      <c r="J253" s="115">
        <v>3</v>
      </c>
      <c r="K253" s="67"/>
      <c r="L253" s="89"/>
      <c r="M253" s="63"/>
    </row>
    <row r="254" spans="1:13" hidden="1">
      <c r="A254" s="74"/>
      <c r="B254" s="113">
        <v>46010</v>
      </c>
      <c r="C254" s="115" t="s">
        <v>1188</v>
      </c>
      <c r="D254" s="114">
        <v>1545</v>
      </c>
      <c r="E254" s="115" t="s">
        <v>1137</v>
      </c>
      <c r="F254" s="114">
        <v>4</v>
      </c>
      <c r="G254" s="114">
        <v>10</v>
      </c>
      <c r="H254" s="114">
        <v>13</v>
      </c>
      <c r="I254" s="114">
        <v>0</v>
      </c>
      <c r="J254" s="115">
        <v>13</v>
      </c>
      <c r="K254" s="67"/>
      <c r="L254" s="89"/>
      <c r="M254" s="63"/>
    </row>
    <row r="255" spans="1:13" hidden="1">
      <c r="A255" s="74"/>
      <c r="B255" s="113">
        <v>46010</v>
      </c>
      <c r="C255" s="115" t="s">
        <v>1188</v>
      </c>
      <c r="D255" s="114">
        <v>983</v>
      </c>
      <c r="E255" s="115" t="s">
        <v>893</v>
      </c>
      <c r="F255" s="114">
        <v>1688</v>
      </c>
      <c r="G255" s="114">
        <v>1864</v>
      </c>
      <c r="H255" s="114">
        <v>1573</v>
      </c>
      <c r="I255" s="114">
        <v>0</v>
      </c>
      <c r="J255" s="115">
        <v>1573</v>
      </c>
      <c r="K255" s="67"/>
      <c r="L255" s="89"/>
      <c r="M255" s="63"/>
    </row>
    <row r="256" spans="1:13" hidden="1">
      <c r="A256" s="74"/>
      <c r="B256" s="113">
        <v>46010</v>
      </c>
      <c r="C256" s="115" t="s">
        <v>1188</v>
      </c>
      <c r="D256" s="114">
        <v>553</v>
      </c>
      <c r="E256" s="115" t="s">
        <v>847</v>
      </c>
      <c r="F256" s="114">
        <v>15</v>
      </c>
      <c r="G256" s="114">
        <v>36</v>
      </c>
      <c r="H256" s="114">
        <v>49</v>
      </c>
      <c r="I256" s="114">
        <v>0</v>
      </c>
      <c r="J256" s="115">
        <v>49</v>
      </c>
      <c r="K256" s="67"/>
      <c r="L256" s="89"/>
      <c r="M256" s="63"/>
    </row>
    <row r="257" spans="1:13" hidden="1">
      <c r="A257" s="74"/>
      <c r="B257" s="113">
        <v>46010</v>
      </c>
      <c r="C257" s="115" t="s">
        <v>1188</v>
      </c>
      <c r="D257" s="114">
        <v>979</v>
      </c>
      <c r="E257" s="115" t="s">
        <v>838</v>
      </c>
      <c r="F257" s="114">
        <v>0</v>
      </c>
      <c r="G257" s="114">
        <v>2</v>
      </c>
      <c r="H257" s="114">
        <v>4</v>
      </c>
      <c r="I257" s="114">
        <v>0</v>
      </c>
      <c r="J257" s="115">
        <v>4</v>
      </c>
      <c r="K257" s="67"/>
      <c r="L257" s="89"/>
      <c r="M257" s="63"/>
    </row>
    <row r="258" spans="1:13" hidden="1">
      <c r="A258" s="74"/>
      <c r="B258" s="113">
        <v>46009</v>
      </c>
      <c r="C258" s="115" t="s">
        <v>1188</v>
      </c>
      <c r="D258" s="114">
        <v>50</v>
      </c>
      <c r="E258" s="115" t="s">
        <v>305</v>
      </c>
      <c r="F258" s="114">
        <v>95</v>
      </c>
      <c r="G258" s="114">
        <v>75</v>
      </c>
      <c r="H258" s="114">
        <v>36</v>
      </c>
      <c r="I258" s="114">
        <v>0</v>
      </c>
      <c r="J258" s="115">
        <v>36</v>
      </c>
      <c r="K258" s="67"/>
      <c r="L258" s="89"/>
      <c r="M258" s="63"/>
    </row>
    <row r="259" spans="1:13" hidden="1">
      <c r="A259" s="74"/>
      <c r="B259" s="113">
        <v>46009</v>
      </c>
      <c r="C259" s="115" t="s">
        <v>1188</v>
      </c>
      <c r="D259" s="114">
        <v>880</v>
      </c>
      <c r="E259" s="115" t="s">
        <v>290</v>
      </c>
      <c r="F259" s="114">
        <v>5</v>
      </c>
      <c r="G259" s="114">
        <v>30</v>
      </c>
      <c r="H259" s="114">
        <v>48</v>
      </c>
      <c r="I259" s="114">
        <v>30</v>
      </c>
      <c r="J259" s="115">
        <v>18</v>
      </c>
      <c r="K259" s="67"/>
      <c r="L259" s="89"/>
      <c r="M259" s="63"/>
    </row>
    <row r="260" spans="1:13" hidden="1">
      <c r="A260" s="74"/>
      <c r="B260" s="113">
        <v>46009</v>
      </c>
      <c r="C260" s="115" t="s">
        <v>1188</v>
      </c>
      <c r="D260" s="114">
        <v>1056</v>
      </c>
      <c r="E260" s="115" t="s">
        <v>1092</v>
      </c>
      <c r="F260" s="114">
        <v>0</v>
      </c>
      <c r="G260" s="114">
        <v>0</v>
      </c>
      <c r="H260" s="114">
        <v>1</v>
      </c>
      <c r="I260" s="114">
        <v>0</v>
      </c>
      <c r="J260" s="115">
        <v>1</v>
      </c>
      <c r="K260" s="67"/>
      <c r="L260" s="89"/>
      <c r="M260" s="63"/>
    </row>
    <row r="261" spans="1:13" hidden="1">
      <c r="A261" s="74"/>
      <c r="B261" s="113">
        <v>46009</v>
      </c>
      <c r="C261" s="115" t="s">
        <v>1188</v>
      </c>
      <c r="D261" s="114">
        <v>1108</v>
      </c>
      <c r="E261" s="115" t="s">
        <v>502</v>
      </c>
      <c r="F261" s="114">
        <v>0</v>
      </c>
      <c r="G261" s="114">
        <v>0</v>
      </c>
      <c r="H261" s="114">
        <v>10</v>
      </c>
      <c r="I261" s="114">
        <v>0</v>
      </c>
      <c r="J261" s="115">
        <v>10</v>
      </c>
      <c r="K261" s="67"/>
      <c r="L261" s="89"/>
      <c r="M261" s="63"/>
    </row>
    <row r="262" spans="1:13" hidden="1">
      <c r="A262" s="74"/>
      <c r="B262" s="113">
        <v>46009</v>
      </c>
      <c r="C262" s="115" t="s">
        <v>1188</v>
      </c>
      <c r="D262" s="114">
        <v>227</v>
      </c>
      <c r="E262" s="115" t="s">
        <v>210</v>
      </c>
      <c r="F262" s="114">
        <v>0</v>
      </c>
      <c r="G262" s="114">
        <v>0</v>
      </c>
      <c r="H262" s="114">
        <v>3</v>
      </c>
      <c r="I262" s="114">
        <v>0</v>
      </c>
      <c r="J262" s="115">
        <v>3</v>
      </c>
      <c r="K262" s="67"/>
      <c r="L262" s="89"/>
      <c r="M262" s="63"/>
    </row>
    <row r="263" spans="1:13" hidden="1">
      <c r="A263" s="74"/>
      <c r="B263" s="113">
        <v>46009</v>
      </c>
      <c r="C263" s="115" t="s">
        <v>1188</v>
      </c>
      <c r="D263" s="114">
        <v>1524</v>
      </c>
      <c r="E263" s="115" t="s">
        <v>42</v>
      </c>
      <c r="F263" s="114">
        <v>31</v>
      </c>
      <c r="G263" s="114">
        <v>60</v>
      </c>
      <c r="H263" s="114">
        <v>50</v>
      </c>
      <c r="I263" s="114">
        <v>0</v>
      </c>
      <c r="J263" s="115">
        <v>50</v>
      </c>
      <c r="K263" s="67"/>
      <c r="L263" s="89"/>
      <c r="M263" s="63"/>
    </row>
    <row r="264" spans="1:13" hidden="1">
      <c r="A264" s="74"/>
      <c r="B264" s="113">
        <v>46008</v>
      </c>
      <c r="C264" s="115" t="s">
        <v>1188</v>
      </c>
      <c r="D264" s="114">
        <v>979</v>
      </c>
      <c r="E264" s="115" t="s">
        <v>838</v>
      </c>
      <c r="F264" s="114">
        <v>0</v>
      </c>
      <c r="G264" s="114">
        <v>0</v>
      </c>
      <c r="H264" s="114">
        <v>2</v>
      </c>
      <c r="I264" s="114">
        <v>0</v>
      </c>
      <c r="J264" s="115">
        <v>2</v>
      </c>
      <c r="K264" s="67"/>
      <c r="L264" s="89"/>
      <c r="M264" s="63"/>
    </row>
    <row r="265" spans="1:13" hidden="1">
      <c r="A265" s="74"/>
      <c r="B265" s="113">
        <v>46008</v>
      </c>
      <c r="C265" s="115" t="s">
        <v>1185</v>
      </c>
      <c r="D265" s="114">
        <v>1239</v>
      </c>
      <c r="E265" s="115" t="s">
        <v>570</v>
      </c>
      <c r="F265" s="114">
        <v>2</v>
      </c>
      <c r="G265" s="114">
        <v>1</v>
      </c>
      <c r="H265" s="114">
        <v>2</v>
      </c>
      <c r="I265" s="114">
        <v>0</v>
      </c>
      <c r="J265" s="115">
        <v>2</v>
      </c>
      <c r="K265" s="67"/>
      <c r="L265" s="89"/>
      <c r="M265" s="63"/>
    </row>
    <row r="266" spans="1:13" hidden="1">
      <c r="A266" s="74"/>
      <c r="B266" s="95">
        <v>46008</v>
      </c>
      <c r="C266" s="97" t="s">
        <v>1185</v>
      </c>
      <c r="D266" s="96">
        <v>983</v>
      </c>
      <c r="E266" s="97" t="s">
        <v>893</v>
      </c>
      <c r="F266" s="96">
        <v>560</v>
      </c>
      <c r="G266" s="96">
        <v>908</v>
      </c>
      <c r="H266" s="96">
        <v>1000</v>
      </c>
      <c r="I266" s="96">
        <v>0</v>
      </c>
      <c r="J266" s="97">
        <v>1000</v>
      </c>
      <c r="K266" s="67"/>
      <c r="L266" s="89"/>
      <c r="M266" s="63"/>
    </row>
    <row r="267" spans="1:13" hidden="1">
      <c r="A267" s="74"/>
      <c r="B267" s="95">
        <v>46008</v>
      </c>
      <c r="C267" s="97" t="s">
        <v>1185</v>
      </c>
      <c r="D267" s="96">
        <v>553</v>
      </c>
      <c r="E267" s="97" t="s">
        <v>847</v>
      </c>
      <c r="F267" s="96">
        <v>53</v>
      </c>
      <c r="G267" s="96">
        <v>135</v>
      </c>
      <c r="H267" s="96">
        <v>218</v>
      </c>
      <c r="I267" s="96">
        <v>100</v>
      </c>
      <c r="J267" s="97">
        <v>118</v>
      </c>
      <c r="K267" s="67"/>
      <c r="L267" s="89"/>
      <c r="M267" s="63"/>
    </row>
    <row r="268" spans="1:13" hidden="1">
      <c r="A268" s="74"/>
      <c r="B268" s="95">
        <v>46007</v>
      </c>
      <c r="C268" s="97" t="s">
        <v>1185</v>
      </c>
      <c r="D268" s="96">
        <v>1056</v>
      </c>
      <c r="E268" s="97" t="s">
        <v>1092</v>
      </c>
      <c r="F268" s="96">
        <v>0</v>
      </c>
      <c r="G268" s="96">
        <v>1</v>
      </c>
      <c r="H268" s="96">
        <v>1</v>
      </c>
      <c r="I268" s="96">
        <v>0</v>
      </c>
      <c r="J268" s="97">
        <v>1</v>
      </c>
      <c r="K268" s="67"/>
      <c r="L268" s="89"/>
      <c r="M268" s="63"/>
    </row>
    <row r="269" spans="1:13" hidden="1">
      <c r="A269" s="74"/>
      <c r="B269" s="95">
        <v>46007</v>
      </c>
      <c r="C269" s="97" t="s">
        <v>1185</v>
      </c>
      <c r="D269" s="96">
        <v>279</v>
      </c>
      <c r="E269" s="97" t="s">
        <v>716</v>
      </c>
      <c r="F269" s="96">
        <v>3</v>
      </c>
      <c r="G269" s="96">
        <v>4</v>
      </c>
      <c r="H269" s="96">
        <v>6</v>
      </c>
      <c r="I269" s="96">
        <v>4</v>
      </c>
      <c r="J269" s="97">
        <v>2</v>
      </c>
      <c r="K269" s="67"/>
      <c r="L269" s="89"/>
      <c r="M269" s="63"/>
    </row>
    <row r="270" spans="1:13" hidden="1">
      <c r="A270" s="74"/>
      <c r="B270" s="95">
        <v>46007</v>
      </c>
      <c r="C270" s="97" t="s">
        <v>1185</v>
      </c>
      <c r="D270" s="96">
        <v>248</v>
      </c>
      <c r="E270" s="97" t="s">
        <v>273</v>
      </c>
      <c r="F270" s="96">
        <v>4</v>
      </c>
      <c r="G270" s="96">
        <v>35</v>
      </c>
      <c r="H270" s="96">
        <v>65</v>
      </c>
      <c r="I270" s="96">
        <v>40</v>
      </c>
      <c r="J270" s="97">
        <v>25</v>
      </c>
      <c r="K270" s="67"/>
      <c r="L270" s="89"/>
      <c r="M270" s="63"/>
    </row>
    <row r="271" spans="1:13" hidden="1">
      <c r="A271" s="74"/>
      <c r="B271" s="95">
        <v>46007</v>
      </c>
      <c r="C271" s="97" t="s">
        <v>1185</v>
      </c>
      <c r="D271" s="96">
        <v>247</v>
      </c>
      <c r="E271" s="97" t="s">
        <v>272</v>
      </c>
      <c r="F271" s="96">
        <v>3</v>
      </c>
      <c r="G271" s="96">
        <v>19</v>
      </c>
      <c r="H271" s="96">
        <v>34</v>
      </c>
      <c r="I271" s="96">
        <v>25</v>
      </c>
      <c r="J271" s="97">
        <v>9</v>
      </c>
      <c r="K271" s="67"/>
      <c r="L271" s="89"/>
      <c r="M271" s="63"/>
    </row>
    <row r="272" spans="1:13" hidden="1">
      <c r="A272" s="74"/>
      <c r="B272" s="95">
        <v>46007</v>
      </c>
      <c r="C272" s="97" t="s">
        <v>1185</v>
      </c>
      <c r="D272" s="96">
        <v>1545</v>
      </c>
      <c r="E272" s="97" t="s">
        <v>1137</v>
      </c>
      <c r="F272" s="96">
        <v>1</v>
      </c>
      <c r="G272" s="96">
        <v>7</v>
      </c>
      <c r="H272" s="96">
        <v>13</v>
      </c>
      <c r="I272" s="96">
        <v>0</v>
      </c>
      <c r="J272" s="97">
        <v>13</v>
      </c>
      <c r="K272" s="67"/>
      <c r="L272" s="89"/>
      <c r="M272" s="63"/>
    </row>
    <row r="273" spans="1:13" hidden="1">
      <c r="A273" s="74"/>
      <c r="B273" s="95">
        <v>46006</v>
      </c>
      <c r="C273" s="97" t="s">
        <v>1185</v>
      </c>
      <c r="D273" s="96">
        <v>22898</v>
      </c>
      <c r="E273" s="97" t="s">
        <v>1087</v>
      </c>
      <c r="F273" s="96">
        <v>0</v>
      </c>
      <c r="G273" s="96">
        <v>2</v>
      </c>
      <c r="H273" s="96">
        <v>4</v>
      </c>
      <c r="I273" s="96">
        <v>0</v>
      </c>
      <c r="J273" s="97">
        <v>4</v>
      </c>
      <c r="K273" s="67"/>
      <c r="L273" s="89"/>
      <c r="M273" s="63"/>
    </row>
    <row r="274" spans="1:13" hidden="1">
      <c r="A274" s="74"/>
      <c r="B274" s="95">
        <v>46006</v>
      </c>
      <c r="C274" s="97" t="s">
        <v>1185</v>
      </c>
      <c r="D274" s="96">
        <v>224</v>
      </c>
      <c r="E274" s="97" t="s">
        <v>1077</v>
      </c>
      <c r="F274" s="96">
        <v>0</v>
      </c>
      <c r="G274" s="96">
        <v>10</v>
      </c>
      <c r="H274" s="96">
        <v>21</v>
      </c>
      <c r="I274" s="96">
        <v>0</v>
      </c>
      <c r="J274" s="97">
        <v>21</v>
      </c>
      <c r="K274" s="67"/>
      <c r="L274" s="89"/>
      <c r="M274" s="63"/>
    </row>
    <row r="275" spans="1:13" hidden="1">
      <c r="A275" s="74"/>
      <c r="B275" s="95">
        <v>46006</v>
      </c>
      <c r="C275" s="97" t="s">
        <v>1185</v>
      </c>
      <c r="D275" s="96">
        <v>22201</v>
      </c>
      <c r="E275" s="97" t="s">
        <v>1072</v>
      </c>
      <c r="F275" s="96">
        <v>0</v>
      </c>
      <c r="G275" s="96">
        <v>1</v>
      </c>
      <c r="H275" s="96">
        <v>2</v>
      </c>
      <c r="I275" s="96">
        <v>0</v>
      </c>
      <c r="J275" s="97">
        <v>2</v>
      </c>
      <c r="K275" s="67"/>
      <c r="L275" s="89"/>
      <c r="M275" s="63"/>
    </row>
    <row r="276" spans="1:13" hidden="1">
      <c r="A276" s="74"/>
      <c r="B276" s="98">
        <v>46006</v>
      </c>
      <c r="C276" s="100" t="s">
        <v>1184</v>
      </c>
      <c r="D276" s="99">
        <v>1140</v>
      </c>
      <c r="E276" s="100" t="s">
        <v>565</v>
      </c>
      <c r="F276" s="99">
        <v>13</v>
      </c>
      <c r="G276" s="99">
        <v>0</v>
      </c>
      <c r="H276" s="99">
        <v>10</v>
      </c>
      <c r="I276" s="99">
        <v>0</v>
      </c>
      <c r="J276" s="100">
        <v>10</v>
      </c>
      <c r="K276" s="67"/>
      <c r="L276" s="89"/>
      <c r="M276" s="63"/>
    </row>
    <row r="277" spans="1:13" hidden="1">
      <c r="A277" s="74"/>
      <c r="B277" s="98">
        <v>46006</v>
      </c>
      <c r="C277" s="100" t="s">
        <v>1184</v>
      </c>
      <c r="D277" s="99">
        <v>1239</v>
      </c>
      <c r="E277" s="100" t="s">
        <v>570</v>
      </c>
      <c r="F277" s="99">
        <v>19</v>
      </c>
      <c r="G277" s="99">
        <v>14</v>
      </c>
      <c r="H277" s="99">
        <v>20</v>
      </c>
      <c r="I277" s="99">
        <v>0</v>
      </c>
      <c r="J277" s="100">
        <v>20</v>
      </c>
      <c r="K277" s="67" t="s">
        <v>1330</v>
      </c>
      <c r="L277" s="89"/>
      <c r="M277" s="63"/>
    </row>
    <row r="278" spans="1:13" hidden="1">
      <c r="A278" s="74"/>
      <c r="B278" s="98">
        <v>46006</v>
      </c>
      <c r="C278" s="100" t="s">
        <v>1184</v>
      </c>
      <c r="D278" s="99">
        <v>224</v>
      </c>
      <c r="E278" s="100" t="s">
        <v>1077</v>
      </c>
      <c r="F278" s="99">
        <v>0</v>
      </c>
      <c r="G278" s="99">
        <v>5</v>
      </c>
      <c r="H278" s="99">
        <v>8</v>
      </c>
      <c r="I278" s="99">
        <v>0</v>
      </c>
      <c r="J278" s="100">
        <v>8</v>
      </c>
      <c r="K278" s="67"/>
      <c r="L278" s="89"/>
      <c r="M278" s="63"/>
    </row>
    <row r="279" spans="1:13" hidden="1">
      <c r="A279" s="74"/>
      <c r="B279" s="98">
        <v>46006</v>
      </c>
      <c r="C279" s="100" t="s">
        <v>1184</v>
      </c>
      <c r="D279" s="99">
        <v>939</v>
      </c>
      <c r="E279" s="100" t="s">
        <v>238</v>
      </c>
      <c r="F279" s="99">
        <v>45</v>
      </c>
      <c r="G279" s="99">
        <v>25</v>
      </c>
      <c r="H279" s="99">
        <v>960</v>
      </c>
      <c r="I279" s="99">
        <v>0</v>
      </c>
      <c r="J279" s="100">
        <v>960</v>
      </c>
      <c r="K279" s="67"/>
      <c r="L279" s="89"/>
      <c r="M279" s="63"/>
    </row>
    <row r="280" spans="1:13" hidden="1">
      <c r="A280" s="74"/>
      <c r="B280" s="98">
        <v>46006</v>
      </c>
      <c r="C280" s="100" t="s">
        <v>1184</v>
      </c>
      <c r="D280" s="99">
        <v>854</v>
      </c>
      <c r="E280" s="100" t="s">
        <v>232</v>
      </c>
      <c r="F280" s="99">
        <v>45</v>
      </c>
      <c r="G280" s="99">
        <v>0</v>
      </c>
      <c r="H280" s="99">
        <v>100</v>
      </c>
      <c r="I280" s="99">
        <v>0</v>
      </c>
      <c r="J280" s="100">
        <v>100</v>
      </c>
      <c r="K280" s="67"/>
      <c r="L280" s="89"/>
      <c r="M280" s="63"/>
    </row>
    <row r="281" spans="1:13" hidden="1">
      <c r="A281" s="74"/>
      <c r="B281" s="98">
        <v>46003</v>
      </c>
      <c r="C281" s="100" t="s">
        <v>1184</v>
      </c>
      <c r="D281" s="99">
        <v>979</v>
      </c>
      <c r="E281" s="100" t="s">
        <v>838</v>
      </c>
      <c r="F281" s="99">
        <v>0</v>
      </c>
      <c r="G281" s="99">
        <v>2</v>
      </c>
      <c r="H281" s="99">
        <v>4</v>
      </c>
      <c r="I281" s="99">
        <v>2</v>
      </c>
      <c r="J281" s="100">
        <v>2</v>
      </c>
      <c r="K281" s="67"/>
      <c r="L281" s="89"/>
      <c r="M281" s="63"/>
    </row>
    <row r="282" spans="1:13" hidden="1">
      <c r="A282" s="74"/>
      <c r="B282" s="98">
        <v>46002</v>
      </c>
      <c r="C282" s="100" t="s">
        <v>1184</v>
      </c>
      <c r="D282" s="99">
        <v>1415</v>
      </c>
      <c r="E282" s="100" t="s">
        <v>992</v>
      </c>
      <c r="F282" s="99">
        <v>0</v>
      </c>
      <c r="G282" s="99">
        <v>0</v>
      </c>
      <c r="H282" s="99">
        <v>1</v>
      </c>
      <c r="I282" s="99">
        <v>0</v>
      </c>
      <c r="J282" s="100">
        <v>1</v>
      </c>
      <c r="K282" s="67"/>
      <c r="L282" s="89"/>
      <c r="M282" s="63"/>
    </row>
    <row r="283" spans="1:13" hidden="1">
      <c r="A283" s="74"/>
      <c r="B283" s="98">
        <v>46002</v>
      </c>
      <c r="C283" s="100" t="s">
        <v>1184</v>
      </c>
      <c r="D283" s="99">
        <v>1524</v>
      </c>
      <c r="E283" s="100" t="s">
        <v>42</v>
      </c>
      <c r="F283" s="99">
        <v>3</v>
      </c>
      <c r="G283" s="99">
        <v>172</v>
      </c>
      <c r="H283" s="99">
        <v>50</v>
      </c>
      <c r="I283" s="99">
        <v>0</v>
      </c>
      <c r="J283" s="100">
        <v>50</v>
      </c>
      <c r="K283" s="67"/>
      <c r="L283" s="89"/>
      <c r="M283" s="63"/>
    </row>
    <row r="284" spans="1:13" hidden="1">
      <c r="A284" s="74"/>
      <c r="B284" s="101">
        <v>46001</v>
      </c>
      <c r="C284" s="103" t="s">
        <v>1198</v>
      </c>
      <c r="D284" s="102">
        <v>224</v>
      </c>
      <c r="E284" s="103" t="s">
        <v>1077</v>
      </c>
      <c r="F284" s="102">
        <v>0</v>
      </c>
      <c r="G284" s="102">
        <v>8</v>
      </c>
      <c r="H284" s="102">
        <v>15</v>
      </c>
      <c r="I284" s="102">
        <v>0</v>
      </c>
      <c r="J284" s="103">
        <v>15</v>
      </c>
      <c r="K284" s="67"/>
      <c r="L284" s="89"/>
      <c r="M284" s="63"/>
    </row>
    <row r="285" spans="1:13" hidden="1">
      <c r="A285" s="74"/>
      <c r="B285" s="101">
        <v>46001</v>
      </c>
      <c r="C285" s="103" t="s">
        <v>1198</v>
      </c>
      <c r="D285" s="102">
        <v>1105</v>
      </c>
      <c r="E285" s="103" t="s">
        <v>60</v>
      </c>
      <c r="F285" s="102">
        <v>31</v>
      </c>
      <c r="G285" s="102">
        <v>33</v>
      </c>
      <c r="H285" s="102">
        <v>20</v>
      </c>
      <c r="I285" s="102">
        <v>2</v>
      </c>
      <c r="J285" s="103">
        <v>18</v>
      </c>
      <c r="K285" s="67"/>
      <c r="L285" s="89"/>
      <c r="M285" s="63"/>
    </row>
    <row r="286" spans="1:13" hidden="1">
      <c r="A286" s="74"/>
      <c r="B286" s="104">
        <v>46000</v>
      </c>
      <c r="C286" s="106" t="s">
        <v>1182</v>
      </c>
      <c r="D286" s="105">
        <v>1105</v>
      </c>
      <c r="E286" s="106" t="s">
        <v>60</v>
      </c>
      <c r="F286" s="105">
        <v>4</v>
      </c>
      <c r="G286" s="105">
        <v>6</v>
      </c>
      <c r="H286" s="105">
        <v>24</v>
      </c>
      <c r="I286" s="105">
        <v>3</v>
      </c>
      <c r="J286" s="106">
        <v>21</v>
      </c>
      <c r="K286" s="67"/>
      <c r="L286" s="89"/>
      <c r="M286" s="63"/>
    </row>
    <row r="287" spans="1:13" hidden="1">
      <c r="A287" s="74"/>
      <c r="B287" s="104">
        <v>46000</v>
      </c>
      <c r="C287" s="106" t="s">
        <v>1182</v>
      </c>
      <c r="D287" s="105">
        <v>1108</v>
      </c>
      <c r="E287" s="106" t="s">
        <v>502</v>
      </c>
      <c r="F287" s="105">
        <v>0</v>
      </c>
      <c r="G287" s="105">
        <v>19</v>
      </c>
      <c r="H287" s="105">
        <v>50</v>
      </c>
      <c r="I287" s="105">
        <v>0</v>
      </c>
      <c r="J287" s="106">
        <v>50</v>
      </c>
      <c r="K287" s="67"/>
      <c r="L287" s="89"/>
      <c r="M287" s="63"/>
    </row>
    <row r="288" spans="1:13" hidden="1">
      <c r="A288" s="74"/>
      <c r="B288" s="104">
        <v>46000</v>
      </c>
      <c r="C288" s="106" t="s">
        <v>1182</v>
      </c>
      <c r="D288" s="105">
        <v>1384</v>
      </c>
      <c r="E288" s="106" t="s">
        <v>189</v>
      </c>
      <c r="F288" s="105">
        <v>8</v>
      </c>
      <c r="G288" s="105">
        <v>1</v>
      </c>
      <c r="H288" s="105">
        <v>4</v>
      </c>
      <c r="I288" s="105">
        <v>0</v>
      </c>
      <c r="J288" s="106">
        <v>4</v>
      </c>
      <c r="K288" s="67"/>
      <c r="L288" s="89"/>
      <c r="M288" s="63"/>
    </row>
    <row r="289" spans="1:13" hidden="1">
      <c r="A289" s="74"/>
      <c r="B289" s="104">
        <v>46000</v>
      </c>
      <c r="C289" s="106" t="s">
        <v>1182</v>
      </c>
      <c r="D289" s="105">
        <v>1524</v>
      </c>
      <c r="E289" s="106" t="s">
        <v>42</v>
      </c>
      <c r="F289" s="105">
        <v>60</v>
      </c>
      <c r="G289" s="105">
        <v>109</v>
      </c>
      <c r="H289" s="105">
        <v>100</v>
      </c>
      <c r="I289" s="105">
        <v>50</v>
      </c>
      <c r="J289" s="106">
        <v>50</v>
      </c>
      <c r="K289" s="67"/>
      <c r="L289" s="89"/>
      <c r="M289" s="63"/>
    </row>
    <row r="290" spans="1:13" hidden="1">
      <c r="A290" s="74"/>
      <c r="B290" s="107">
        <v>45993</v>
      </c>
      <c r="C290" s="109" t="s">
        <v>1194</v>
      </c>
      <c r="D290" s="108">
        <v>1415</v>
      </c>
      <c r="E290" s="109" t="s">
        <v>992</v>
      </c>
      <c r="F290" s="108">
        <v>0</v>
      </c>
      <c r="G290" s="108">
        <v>0</v>
      </c>
      <c r="H290" s="108">
        <v>2</v>
      </c>
      <c r="I290" s="108">
        <v>0</v>
      </c>
      <c r="J290" s="109">
        <v>2</v>
      </c>
      <c r="K290" s="67"/>
      <c r="L290" s="89"/>
      <c r="M290" s="63"/>
    </row>
    <row r="291" spans="1:13" hidden="1">
      <c r="A291" s="74"/>
      <c r="B291" s="107">
        <v>45993</v>
      </c>
      <c r="C291" s="109" t="s">
        <v>1194</v>
      </c>
      <c r="D291" s="108">
        <v>1530</v>
      </c>
      <c r="E291" s="109" t="s">
        <v>94</v>
      </c>
      <c r="F291" s="108">
        <v>0</v>
      </c>
      <c r="G291" s="108">
        <v>0</v>
      </c>
      <c r="H291" s="108">
        <v>60</v>
      </c>
      <c r="I291" s="108">
        <v>0</v>
      </c>
      <c r="J291" s="109">
        <v>60</v>
      </c>
      <c r="K291" s="67"/>
      <c r="L291" s="89"/>
      <c r="M291" s="63"/>
    </row>
    <row r="292" spans="1:13" hidden="1">
      <c r="A292" s="74"/>
      <c r="B292" s="110">
        <v>45993</v>
      </c>
      <c r="C292" s="112" t="s">
        <v>1191</v>
      </c>
      <c r="D292" s="111">
        <v>1432</v>
      </c>
      <c r="E292" s="112" t="s">
        <v>708</v>
      </c>
      <c r="F292" s="111">
        <v>0</v>
      </c>
      <c r="G292" s="111">
        <v>100</v>
      </c>
      <c r="H292" s="111">
        <v>150</v>
      </c>
      <c r="I292" s="111">
        <v>35</v>
      </c>
      <c r="J292" s="112">
        <v>115</v>
      </c>
      <c r="K292" s="67"/>
      <c r="L292" s="89"/>
      <c r="M292" s="63"/>
    </row>
    <row r="293" spans="1:13" hidden="1">
      <c r="A293" s="74"/>
      <c r="B293" s="110">
        <v>45992</v>
      </c>
      <c r="C293" s="112" t="s">
        <v>1191</v>
      </c>
      <c r="D293" s="111">
        <v>979</v>
      </c>
      <c r="E293" s="112" t="s">
        <v>838</v>
      </c>
      <c r="F293" s="111">
        <v>3</v>
      </c>
      <c r="G293" s="111">
        <v>7</v>
      </c>
      <c r="H293" s="111">
        <v>12</v>
      </c>
      <c r="I293" s="111">
        <v>4</v>
      </c>
      <c r="J293" s="112">
        <v>8</v>
      </c>
      <c r="K293" s="67"/>
      <c r="L293" s="89"/>
      <c r="M293" s="63"/>
    </row>
    <row r="294" spans="1:13" hidden="1">
      <c r="A294" s="74"/>
      <c r="B294" s="88">
        <v>45989</v>
      </c>
      <c r="C294" s="58" t="s">
        <v>1189</v>
      </c>
      <c r="D294" s="12">
        <v>50</v>
      </c>
      <c r="E294" s="58" t="s">
        <v>305</v>
      </c>
      <c r="F294" s="12">
        <v>52</v>
      </c>
      <c r="G294" s="12">
        <v>35</v>
      </c>
      <c r="H294" s="12">
        <v>40</v>
      </c>
      <c r="I294" s="12">
        <v>0</v>
      </c>
      <c r="J294" s="58">
        <v>40</v>
      </c>
      <c r="K294" s="67"/>
      <c r="L294" s="89"/>
      <c r="M294" s="63"/>
    </row>
    <row r="295" spans="1:13" hidden="1">
      <c r="A295" s="74"/>
      <c r="B295" s="88">
        <v>45989</v>
      </c>
      <c r="C295" s="58" t="s">
        <v>1189</v>
      </c>
      <c r="D295" s="12">
        <v>1572</v>
      </c>
      <c r="E295" s="58" t="s">
        <v>934</v>
      </c>
      <c r="F295" s="12">
        <v>0</v>
      </c>
      <c r="G295" s="12">
        <v>1</v>
      </c>
      <c r="H295" s="12">
        <v>1</v>
      </c>
      <c r="I295" s="12">
        <v>0</v>
      </c>
      <c r="J295" s="58">
        <v>1</v>
      </c>
      <c r="K295" s="67"/>
      <c r="L295" s="89"/>
      <c r="M295" s="63"/>
    </row>
    <row r="296" spans="1:13" hidden="1">
      <c r="A296" s="74"/>
      <c r="B296" s="88">
        <v>45989</v>
      </c>
      <c r="C296" s="58" t="s">
        <v>1189</v>
      </c>
      <c r="D296" s="12">
        <v>960</v>
      </c>
      <c r="E296" s="58" t="s">
        <v>810</v>
      </c>
      <c r="F296" s="12">
        <v>1</v>
      </c>
      <c r="G296" s="12">
        <v>2</v>
      </c>
      <c r="H296" s="12">
        <v>4</v>
      </c>
      <c r="I296" s="12">
        <v>0</v>
      </c>
      <c r="J296" s="58">
        <v>4</v>
      </c>
      <c r="K296" s="67"/>
      <c r="L296" s="89"/>
      <c r="M296" s="63"/>
    </row>
    <row r="297" spans="1:13" hidden="1">
      <c r="A297" s="74"/>
      <c r="B297" s="88">
        <v>45989</v>
      </c>
      <c r="C297" s="58" t="s">
        <v>1189</v>
      </c>
      <c r="D297" s="12">
        <v>224</v>
      </c>
      <c r="E297" s="58" t="s">
        <v>1077</v>
      </c>
      <c r="F297" s="12">
        <v>18</v>
      </c>
      <c r="G297" s="12">
        <v>11</v>
      </c>
      <c r="H297" s="12">
        <v>1</v>
      </c>
      <c r="I297" s="12">
        <v>0</v>
      </c>
      <c r="J297" s="58">
        <v>1</v>
      </c>
      <c r="K297" s="67"/>
      <c r="L297" s="89"/>
      <c r="M297" s="63"/>
    </row>
    <row r="298" spans="1:13" hidden="1">
      <c r="A298" s="74"/>
      <c r="B298" s="88">
        <v>45988</v>
      </c>
      <c r="C298" s="58" t="s">
        <v>1189</v>
      </c>
      <c r="D298" s="12">
        <v>1530</v>
      </c>
      <c r="E298" s="58" t="s">
        <v>94</v>
      </c>
      <c r="F298" s="12">
        <v>50</v>
      </c>
      <c r="G298" s="12">
        <v>57</v>
      </c>
      <c r="H298" s="12">
        <v>50</v>
      </c>
      <c r="I298" s="12">
        <v>20</v>
      </c>
      <c r="J298" s="58">
        <v>30</v>
      </c>
      <c r="K298" s="67"/>
      <c r="L298" s="89"/>
      <c r="M298" s="63"/>
    </row>
    <row r="299" spans="1:13" hidden="1">
      <c r="A299" s="74"/>
      <c r="B299" s="88">
        <v>45988</v>
      </c>
      <c r="C299" s="58" t="s">
        <v>1190</v>
      </c>
      <c r="D299" s="12">
        <v>50</v>
      </c>
      <c r="E299" s="58" t="s">
        <v>305</v>
      </c>
      <c r="F299" s="12">
        <v>0</v>
      </c>
      <c r="G299" s="12">
        <v>30</v>
      </c>
      <c r="H299" s="12">
        <v>59</v>
      </c>
      <c r="I299" s="12">
        <v>0</v>
      </c>
      <c r="J299" s="58">
        <v>59</v>
      </c>
      <c r="K299" s="67"/>
      <c r="L299" s="89"/>
      <c r="M299" s="63"/>
    </row>
    <row r="300" spans="1:13" hidden="1">
      <c r="A300" s="74"/>
      <c r="B300" s="88">
        <v>45987</v>
      </c>
      <c r="C300" s="58" t="s">
        <v>1190</v>
      </c>
      <c r="D300" s="12">
        <v>1530</v>
      </c>
      <c r="E300" s="58" t="s">
        <v>94</v>
      </c>
      <c r="F300" s="12">
        <v>0</v>
      </c>
      <c r="G300" s="12">
        <v>50</v>
      </c>
      <c r="H300" s="12">
        <v>98</v>
      </c>
      <c r="I300" s="12">
        <v>30</v>
      </c>
      <c r="J300" s="58">
        <v>68</v>
      </c>
      <c r="K300" s="67"/>
      <c r="L300" s="89"/>
      <c r="M300" s="63"/>
    </row>
    <row r="301" spans="1:13" hidden="1">
      <c r="A301" s="74"/>
      <c r="B301" s="88">
        <v>45987</v>
      </c>
      <c r="C301" s="58" t="s">
        <v>1190</v>
      </c>
      <c r="D301" s="12">
        <v>299</v>
      </c>
      <c r="E301" s="58" t="s">
        <v>1035</v>
      </c>
      <c r="F301" s="12">
        <v>2</v>
      </c>
      <c r="G301" s="12">
        <v>2</v>
      </c>
      <c r="H301" s="12">
        <v>2</v>
      </c>
      <c r="I301" s="12">
        <v>1</v>
      </c>
      <c r="J301" s="58">
        <v>1</v>
      </c>
      <c r="K301" s="67"/>
      <c r="L301" s="89"/>
      <c r="M301" s="63"/>
    </row>
    <row r="302" spans="1:13" hidden="1">
      <c r="A302" s="74"/>
      <c r="B302" s="88">
        <v>45987</v>
      </c>
      <c r="C302" s="58" t="s">
        <v>1182</v>
      </c>
      <c r="D302" s="12">
        <v>21792</v>
      </c>
      <c r="E302" s="58" t="s">
        <v>1011</v>
      </c>
      <c r="F302" s="12">
        <v>3</v>
      </c>
      <c r="G302" s="12">
        <v>1</v>
      </c>
      <c r="H302" s="12">
        <v>2</v>
      </c>
      <c r="I302" s="12">
        <v>0</v>
      </c>
      <c r="J302" s="58">
        <v>2</v>
      </c>
      <c r="K302" s="67"/>
      <c r="L302" s="89"/>
      <c r="M302" s="63"/>
    </row>
    <row r="303" spans="1:13" hidden="1">
      <c r="A303" s="74"/>
      <c r="B303" s="88">
        <v>45987</v>
      </c>
      <c r="C303" s="58" t="s">
        <v>1182</v>
      </c>
      <c r="D303" s="12">
        <v>1524</v>
      </c>
      <c r="E303" s="58" t="s">
        <v>42</v>
      </c>
      <c r="F303" s="12">
        <v>70</v>
      </c>
      <c r="G303" s="12">
        <v>110</v>
      </c>
      <c r="H303" s="12">
        <v>100</v>
      </c>
      <c r="I303" s="12">
        <v>0</v>
      </c>
      <c r="J303" s="58">
        <v>100</v>
      </c>
      <c r="K303" s="67"/>
      <c r="L303" s="89"/>
      <c r="M303" s="63"/>
    </row>
    <row r="304" spans="1:13" hidden="1">
      <c r="A304" s="74"/>
      <c r="B304" s="88">
        <v>45987</v>
      </c>
      <c r="C304" s="58" t="s">
        <v>1182</v>
      </c>
      <c r="D304" s="12">
        <v>1384</v>
      </c>
      <c r="E304" s="58" t="s">
        <v>189</v>
      </c>
      <c r="F304" s="12">
        <v>11</v>
      </c>
      <c r="G304" s="12">
        <v>1</v>
      </c>
      <c r="H304" s="12">
        <v>5</v>
      </c>
      <c r="I304" s="12">
        <v>0</v>
      </c>
      <c r="J304" s="58">
        <v>5</v>
      </c>
      <c r="K304" s="67"/>
      <c r="L304" s="89"/>
      <c r="M304" s="63"/>
    </row>
    <row r="305" spans="1:13" hidden="1">
      <c r="A305" s="74"/>
      <c r="B305" s="88">
        <v>45987</v>
      </c>
      <c r="C305" s="58" t="s">
        <v>1182</v>
      </c>
      <c r="D305" s="12">
        <v>17939</v>
      </c>
      <c r="E305" s="58" t="s">
        <v>1007</v>
      </c>
      <c r="F305" s="12">
        <v>80</v>
      </c>
      <c r="G305" s="12">
        <v>180</v>
      </c>
      <c r="H305" s="12">
        <v>240</v>
      </c>
      <c r="I305" s="12">
        <v>0</v>
      </c>
      <c r="J305" s="58">
        <v>240</v>
      </c>
      <c r="K305" s="67"/>
      <c r="L305" s="89"/>
      <c r="M305" s="63"/>
    </row>
    <row r="306" spans="1:13" hidden="1">
      <c r="A306" s="74"/>
      <c r="B306" s="88">
        <v>45987</v>
      </c>
      <c r="C306" s="58" t="s">
        <v>1182</v>
      </c>
      <c r="D306" s="12">
        <v>944</v>
      </c>
      <c r="E306" s="58" t="s">
        <v>697</v>
      </c>
      <c r="F306" s="12">
        <v>4952</v>
      </c>
      <c r="G306" s="12">
        <v>7062</v>
      </c>
      <c r="H306" s="12">
        <v>8000</v>
      </c>
      <c r="I306" s="12">
        <v>3000</v>
      </c>
      <c r="J306" s="58">
        <v>5000</v>
      </c>
      <c r="K306" s="67"/>
      <c r="L306" s="89"/>
      <c r="M306" s="63"/>
    </row>
    <row r="307" spans="1:13" hidden="1">
      <c r="A307" s="74"/>
      <c r="B307" s="88">
        <v>45985</v>
      </c>
      <c r="C307" s="58" t="s">
        <v>1189</v>
      </c>
      <c r="D307" s="12">
        <v>17939</v>
      </c>
      <c r="E307" s="58" t="s">
        <v>1007</v>
      </c>
      <c r="F307" s="12">
        <v>200</v>
      </c>
      <c r="G307" s="12">
        <v>190</v>
      </c>
      <c r="H307" s="12">
        <v>100</v>
      </c>
      <c r="I307" s="12">
        <v>0</v>
      </c>
      <c r="J307" s="58">
        <v>100</v>
      </c>
      <c r="K307" s="67"/>
      <c r="L307" s="89"/>
      <c r="M307" s="63"/>
    </row>
    <row r="308" spans="1:13" hidden="1">
      <c r="A308" s="74"/>
      <c r="B308" s="88">
        <v>45985</v>
      </c>
      <c r="C308" s="58" t="s">
        <v>1189</v>
      </c>
      <c r="D308" s="12">
        <v>1524</v>
      </c>
      <c r="E308" s="58" t="s">
        <v>42</v>
      </c>
      <c r="F308" s="12">
        <v>236</v>
      </c>
      <c r="G308" s="12">
        <v>68</v>
      </c>
      <c r="H308" s="12">
        <v>50</v>
      </c>
      <c r="I308" s="12">
        <v>0</v>
      </c>
      <c r="J308" s="58">
        <v>50</v>
      </c>
      <c r="K308" s="67"/>
      <c r="L308" s="89"/>
      <c r="M308" s="63"/>
    </row>
    <row r="309" spans="1:13" hidden="1">
      <c r="A309" s="74"/>
      <c r="B309" s="88">
        <v>45985</v>
      </c>
      <c r="C309" s="58" t="s">
        <v>1188</v>
      </c>
      <c r="D309" s="12">
        <v>1317</v>
      </c>
      <c r="E309" s="58" t="s">
        <v>1135</v>
      </c>
      <c r="F309" s="12">
        <v>348</v>
      </c>
      <c r="G309" s="12">
        <v>1407</v>
      </c>
      <c r="H309" s="12">
        <v>2115</v>
      </c>
      <c r="I309" s="12">
        <v>1800</v>
      </c>
      <c r="J309" s="58">
        <v>315</v>
      </c>
      <c r="K309" s="67"/>
      <c r="L309" s="89"/>
      <c r="M309" s="63"/>
    </row>
    <row r="310" spans="1:13" hidden="1">
      <c r="A310" s="74"/>
      <c r="B310" s="88">
        <v>45985</v>
      </c>
      <c r="C310" s="58" t="s">
        <v>1188</v>
      </c>
      <c r="D310" s="12">
        <v>553</v>
      </c>
      <c r="E310" s="58" t="s">
        <v>847</v>
      </c>
      <c r="F310" s="12">
        <v>12</v>
      </c>
      <c r="G310" s="12">
        <v>39</v>
      </c>
      <c r="H310" s="12">
        <v>57</v>
      </c>
      <c r="I310" s="12">
        <v>0</v>
      </c>
      <c r="J310" s="58">
        <v>57</v>
      </c>
      <c r="K310" s="67"/>
      <c r="L310" s="89"/>
      <c r="M310" s="63"/>
    </row>
    <row r="311" spans="1:13" hidden="1">
      <c r="A311" s="74"/>
      <c r="B311" s="88">
        <v>45985</v>
      </c>
      <c r="C311" s="58" t="s">
        <v>1188</v>
      </c>
      <c r="D311" s="12">
        <v>944</v>
      </c>
      <c r="E311" s="58" t="s">
        <v>697</v>
      </c>
      <c r="F311" s="12">
        <v>3469</v>
      </c>
      <c r="G311" s="12">
        <v>5089</v>
      </c>
      <c r="H311" s="12">
        <v>5436</v>
      </c>
      <c r="I311" s="12">
        <v>4000</v>
      </c>
      <c r="J311" s="58">
        <v>1436</v>
      </c>
      <c r="K311" s="67"/>
      <c r="L311" s="89"/>
      <c r="M311" s="63"/>
    </row>
    <row r="312" spans="1:13" hidden="1">
      <c r="A312" s="74"/>
      <c r="B312" s="88">
        <v>45982</v>
      </c>
      <c r="C312" s="58" t="s">
        <v>1188</v>
      </c>
      <c r="D312" s="12">
        <v>880</v>
      </c>
      <c r="E312" s="58" t="s">
        <v>290</v>
      </c>
      <c r="F312" s="12">
        <v>10</v>
      </c>
      <c r="G312" s="12">
        <v>29</v>
      </c>
      <c r="H312" s="12">
        <v>41</v>
      </c>
      <c r="I312" s="12">
        <v>16</v>
      </c>
      <c r="J312" s="58">
        <v>25</v>
      </c>
      <c r="K312" s="67"/>
      <c r="L312" s="89"/>
      <c r="M312" s="63"/>
    </row>
    <row r="313" spans="1:13" hidden="1">
      <c r="A313" s="74"/>
      <c r="B313" s="88">
        <v>45982</v>
      </c>
      <c r="C313" s="58" t="s">
        <v>1188</v>
      </c>
      <c r="D313" s="12">
        <v>865</v>
      </c>
      <c r="E313" s="58" t="s">
        <v>113</v>
      </c>
      <c r="F313" s="12">
        <v>184</v>
      </c>
      <c r="G313" s="12">
        <v>601</v>
      </c>
      <c r="H313" s="12">
        <v>868</v>
      </c>
      <c r="I313" s="12">
        <v>600</v>
      </c>
      <c r="J313" s="58">
        <v>268</v>
      </c>
      <c r="K313" s="67"/>
      <c r="L313" s="89"/>
      <c r="M313" s="63"/>
    </row>
    <row r="314" spans="1:13" hidden="1">
      <c r="A314" s="74"/>
      <c r="B314" s="88">
        <v>45982</v>
      </c>
      <c r="C314" s="58" t="s">
        <v>1188</v>
      </c>
      <c r="D314" s="12">
        <v>22898</v>
      </c>
      <c r="E314" s="58" t="s">
        <v>1087</v>
      </c>
      <c r="F314" s="12">
        <v>0</v>
      </c>
      <c r="G314" s="12">
        <v>2</v>
      </c>
      <c r="H314" s="12">
        <v>3</v>
      </c>
      <c r="I314" s="12">
        <v>0</v>
      </c>
      <c r="J314" s="58">
        <v>3</v>
      </c>
      <c r="K314" s="67"/>
      <c r="L314" s="89"/>
      <c r="M314" s="63"/>
    </row>
    <row r="315" spans="1:13" hidden="1">
      <c r="A315" s="74"/>
      <c r="B315" s="88">
        <v>45982</v>
      </c>
      <c r="C315" s="58" t="s">
        <v>1188</v>
      </c>
      <c r="D315" s="12">
        <v>558</v>
      </c>
      <c r="E315" s="58" t="s">
        <v>1085</v>
      </c>
      <c r="F315" s="12">
        <v>5</v>
      </c>
      <c r="G315" s="12">
        <v>9</v>
      </c>
      <c r="H315" s="12">
        <v>11</v>
      </c>
      <c r="I315" s="12">
        <v>4</v>
      </c>
      <c r="J315" s="58">
        <v>7</v>
      </c>
      <c r="K315" s="67"/>
      <c r="L315" s="89"/>
      <c r="M315" s="63"/>
    </row>
    <row r="316" spans="1:13" hidden="1">
      <c r="A316" s="74"/>
      <c r="B316" s="88">
        <v>45982</v>
      </c>
      <c r="C316" s="58" t="s">
        <v>1188</v>
      </c>
      <c r="D316" s="12">
        <v>1056</v>
      </c>
      <c r="E316" s="58" t="s">
        <v>1092</v>
      </c>
      <c r="F316" s="12">
        <v>0</v>
      </c>
      <c r="G316" s="12">
        <v>0</v>
      </c>
      <c r="H316" s="12">
        <v>1</v>
      </c>
      <c r="I316" s="12">
        <v>0</v>
      </c>
      <c r="J316" s="58">
        <v>1</v>
      </c>
      <c r="K316" s="67"/>
      <c r="L316" s="89"/>
      <c r="M316" s="63"/>
    </row>
    <row r="317" spans="1:13" hidden="1">
      <c r="A317" s="74"/>
      <c r="B317" s="88">
        <v>45981</v>
      </c>
      <c r="C317" s="58" t="s">
        <v>1188</v>
      </c>
      <c r="D317" s="12">
        <v>254</v>
      </c>
      <c r="E317" s="58" t="s">
        <v>499</v>
      </c>
      <c r="F317" s="12">
        <v>57</v>
      </c>
      <c r="G317" s="12">
        <v>451</v>
      </c>
      <c r="H317" s="12">
        <v>732</v>
      </c>
      <c r="I317" s="12">
        <v>500</v>
      </c>
      <c r="J317" s="58">
        <v>232</v>
      </c>
      <c r="K317" s="67"/>
      <c r="L317" s="89"/>
      <c r="M317" s="63"/>
    </row>
    <row r="318" spans="1:13" hidden="1">
      <c r="A318" s="74"/>
      <c r="B318" s="88">
        <v>45981</v>
      </c>
      <c r="C318" s="58" t="s">
        <v>1188</v>
      </c>
      <c r="D318" s="12">
        <v>1108</v>
      </c>
      <c r="E318" s="58" t="s">
        <v>502</v>
      </c>
      <c r="F318" s="12">
        <v>0</v>
      </c>
      <c r="G318" s="12">
        <v>0</v>
      </c>
      <c r="H318" s="12">
        <v>5</v>
      </c>
      <c r="I318" s="12">
        <v>0</v>
      </c>
      <c r="J318" s="58">
        <v>5</v>
      </c>
      <c r="K318" s="67"/>
      <c r="L318" s="89"/>
      <c r="M318" s="63"/>
    </row>
    <row r="319" spans="1:13" hidden="1">
      <c r="A319" s="74"/>
      <c r="B319" s="88">
        <v>45981</v>
      </c>
      <c r="C319" s="58" t="s">
        <v>1188</v>
      </c>
      <c r="D319" s="12">
        <v>247</v>
      </c>
      <c r="E319" s="58" t="s">
        <v>272</v>
      </c>
      <c r="F319" s="12">
        <v>0</v>
      </c>
      <c r="G319" s="12">
        <v>376</v>
      </c>
      <c r="H319" s="12">
        <v>659</v>
      </c>
      <c r="I319" s="12">
        <v>0</v>
      </c>
      <c r="J319" s="58">
        <v>659</v>
      </c>
      <c r="K319" s="67"/>
      <c r="L319" s="89"/>
      <c r="M319" s="63"/>
    </row>
    <row r="320" spans="1:13" hidden="1">
      <c r="A320" s="74"/>
      <c r="B320" s="88">
        <v>45981</v>
      </c>
      <c r="C320" s="58" t="s">
        <v>1188</v>
      </c>
      <c r="D320" s="12">
        <v>225</v>
      </c>
      <c r="E320" s="58" t="s">
        <v>183</v>
      </c>
      <c r="F320" s="12">
        <v>0</v>
      </c>
      <c r="G320" s="12">
        <v>333</v>
      </c>
      <c r="H320" s="12">
        <v>583</v>
      </c>
      <c r="I320" s="12">
        <v>0</v>
      </c>
      <c r="J320" s="58">
        <v>583</v>
      </c>
      <c r="K320" s="67"/>
      <c r="L320" s="89"/>
      <c r="M320" s="63"/>
    </row>
    <row r="321" spans="1:13" hidden="1">
      <c r="A321" s="74"/>
      <c r="B321" s="88">
        <v>45981</v>
      </c>
      <c r="C321" s="58" t="s">
        <v>1188</v>
      </c>
      <c r="D321" s="12">
        <v>1524</v>
      </c>
      <c r="E321" s="58" t="s">
        <v>42</v>
      </c>
      <c r="F321" s="12">
        <v>36</v>
      </c>
      <c r="G321" s="12">
        <v>219</v>
      </c>
      <c r="H321" s="12">
        <v>200</v>
      </c>
      <c r="I321" s="12">
        <v>0</v>
      </c>
      <c r="J321" s="58">
        <v>200</v>
      </c>
      <c r="K321" s="67"/>
      <c r="L321" s="89"/>
      <c r="M321" s="63"/>
    </row>
    <row r="322" spans="1:13" hidden="1">
      <c r="A322" s="74"/>
      <c r="B322" s="88">
        <v>45981</v>
      </c>
      <c r="C322" s="58" t="s">
        <v>1185</v>
      </c>
      <c r="D322" s="12">
        <v>1180</v>
      </c>
      <c r="E322" s="58" t="s">
        <v>561</v>
      </c>
      <c r="F322" s="12">
        <v>0</v>
      </c>
      <c r="G322" s="12">
        <v>0</v>
      </c>
      <c r="H322" s="12">
        <v>1</v>
      </c>
      <c r="I322" s="12">
        <v>0</v>
      </c>
      <c r="J322" s="58">
        <v>1</v>
      </c>
      <c r="K322" s="67"/>
      <c r="L322" s="89"/>
      <c r="M322" s="63"/>
    </row>
    <row r="323" spans="1:13" hidden="1">
      <c r="A323" s="74"/>
      <c r="B323" s="88">
        <v>45981</v>
      </c>
      <c r="C323" s="58" t="s">
        <v>1185</v>
      </c>
      <c r="D323" s="12">
        <v>22898</v>
      </c>
      <c r="E323" s="58" t="s">
        <v>1087</v>
      </c>
      <c r="F323" s="12">
        <v>0</v>
      </c>
      <c r="G323" s="12">
        <v>2</v>
      </c>
      <c r="H323" s="12">
        <v>4</v>
      </c>
      <c r="I323" s="12">
        <v>0</v>
      </c>
      <c r="J323" s="58">
        <v>4</v>
      </c>
      <c r="K323" s="67"/>
      <c r="L323" s="89"/>
      <c r="M323" s="63"/>
    </row>
    <row r="324" spans="1:13" hidden="1">
      <c r="A324" s="74"/>
      <c r="B324" s="88">
        <v>45981</v>
      </c>
      <c r="C324" s="58" t="s">
        <v>1185</v>
      </c>
      <c r="D324" s="12">
        <v>558</v>
      </c>
      <c r="E324" s="58" t="s">
        <v>1085</v>
      </c>
      <c r="F324" s="12">
        <v>6</v>
      </c>
      <c r="G324" s="12">
        <v>10</v>
      </c>
      <c r="H324" s="12">
        <v>13</v>
      </c>
      <c r="I324" s="12">
        <v>4</v>
      </c>
      <c r="J324" s="58">
        <v>9</v>
      </c>
      <c r="K324" s="67"/>
      <c r="L324" s="89"/>
      <c r="M324" s="63"/>
    </row>
    <row r="325" spans="1:13" hidden="1">
      <c r="A325" s="74"/>
      <c r="B325" s="88">
        <v>45981</v>
      </c>
      <c r="C325" s="58" t="s">
        <v>1185</v>
      </c>
      <c r="D325" s="12">
        <v>224</v>
      </c>
      <c r="E325" s="58" t="s">
        <v>1077</v>
      </c>
      <c r="F325" s="12">
        <v>0</v>
      </c>
      <c r="G325" s="12">
        <v>15</v>
      </c>
      <c r="H325" s="12">
        <v>29</v>
      </c>
      <c r="I325" s="12">
        <v>0</v>
      </c>
      <c r="J325" s="58">
        <v>29</v>
      </c>
      <c r="K325" s="67"/>
      <c r="L325" s="89"/>
      <c r="M325" s="63"/>
    </row>
    <row r="326" spans="1:13" hidden="1">
      <c r="A326" s="74"/>
      <c r="B326" s="88">
        <v>45981</v>
      </c>
      <c r="C326" s="58" t="s">
        <v>1185</v>
      </c>
      <c r="D326" s="12">
        <v>22201</v>
      </c>
      <c r="E326" s="58" t="s">
        <v>1072</v>
      </c>
      <c r="F326" s="12">
        <v>1</v>
      </c>
      <c r="G326" s="12">
        <v>1</v>
      </c>
      <c r="H326" s="12">
        <v>2</v>
      </c>
      <c r="I326" s="12">
        <v>0</v>
      </c>
      <c r="J326" s="58">
        <v>2</v>
      </c>
      <c r="K326" s="67"/>
      <c r="L326" s="89"/>
      <c r="M326" s="63"/>
    </row>
    <row r="327" spans="1:13" hidden="1">
      <c r="A327" s="74"/>
      <c r="B327" s="88">
        <v>45980</v>
      </c>
      <c r="C327" s="58" t="s">
        <v>1185</v>
      </c>
      <c r="D327" s="12">
        <v>1056</v>
      </c>
      <c r="E327" s="58" t="s">
        <v>1092</v>
      </c>
      <c r="F327" s="12">
        <v>0</v>
      </c>
      <c r="G327" s="12">
        <v>1</v>
      </c>
      <c r="H327" s="12">
        <v>1</v>
      </c>
      <c r="I327" s="12">
        <v>0</v>
      </c>
      <c r="J327" s="58">
        <v>1</v>
      </c>
      <c r="K327" s="67"/>
      <c r="L327" s="89"/>
      <c r="M327" s="63"/>
    </row>
    <row r="328" spans="1:13" hidden="1">
      <c r="A328" s="74"/>
      <c r="B328" s="88">
        <v>45980</v>
      </c>
      <c r="C328" s="58" t="s">
        <v>1185</v>
      </c>
      <c r="D328" s="12">
        <v>1416</v>
      </c>
      <c r="E328" s="58" t="s">
        <v>993</v>
      </c>
      <c r="F328" s="12">
        <v>0</v>
      </c>
      <c r="G328" s="12">
        <v>2</v>
      </c>
      <c r="H328" s="12">
        <v>2</v>
      </c>
      <c r="I328" s="12">
        <v>0</v>
      </c>
      <c r="J328" s="58">
        <v>2</v>
      </c>
      <c r="K328" s="67"/>
      <c r="L328" s="89"/>
      <c r="M328" s="63"/>
    </row>
    <row r="329" spans="1:13" hidden="1">
      <c r="A329" s="74"/>
      <c r="B329" s="88">
        <v>45980</v>
      </c>
      <c r="C329" s="58" t="s">
        <v>1185</v>
      </c>
      <c r="D329" s="12">
        <v>1415</v>
      </c>
      <c r="E329" s="58" t="s">
        <v>992</v>
      </c>
      <c r="F329" s="12">
        <v>0</v>
      </c>
      <c r="G329" s="12">
        <v>2</v>
      </c>
      <c r="H329" s="12">
        <v>2</v>
      </c>
      <c r="I329" s="12">
        <v>0</v>
      </c>
      <c r="J329" s="58">
        <v>2</v>
      </c>
      <c r="K329" s="67"/>
      <c r="L329" s="89"/>
      <c r="M329" s="63"/>
    </row>
    <row r="330" spans="1:13" hidden="1">
      <c r="A330" s="74"/>
      <c r="B330" s="88">
        <v>45980</v>
      </c>
      <c r="C330" s="58" t="s">
        <v>1185</v>
      </c>
      <c r="D330" s="12">
        <v>254</v>
      </c>
      <c r="E330" s="58" t="s">
        <v>499</v>
      </c>
      <c r="F330" s="12">
        <v>18</v>
      </c>
      <c r="G330" s="12">
        <v>839</v>
      </c>
      <c r="H330" s="12">
        <v>1600</v>
      </c>
      <c r="I330" s="12">
        <v>900</v>
      </c>
      <c r="J330" s="58">
        <v>700</v>
      </c>
      <c r="K330" s="67"/>
      <c r="L330" s="89"/>
      <c r="M330" s="63"/>
    </row>
    <row r="331" spans="1:13" hidden="1">
      <c r="A331" s="74"/>
      <c r="B331" s="88">
        <v>45980</v>
      </c>
      <c r="C331" s="58" t="s">
        <v>1185</v>
      </c>
      <c r="D331" s="12">
        <v>247</v>
      </c>
      <c r="E331" s="58" t="s">
        <v>272</v>
      </c>
      <c r="F331" s="12">
        <v>62</v>
      </c>
      <c r="G331" s="12">
        <v>38</v>
      </c>
      <c r="H331" s="12">
        <v>31</v>
      </c>
      <c r="I331" s="12">
        <v>5</v>
      </c>
      <c r="J331" s="58">
        <v>26</v>
      </c>
      <c r="K331" s="67"/>
      <c r="L331" s="89"/>
      <c r="M331" s="63"/>
    </row>
    <row r="332" spans="1:13" hidden="1">
      <c r="A332" s="74"/>
      <c r="B332" s="88">
        <v>45980</v>
      </c>
      <c r="C332" s="58" t="s">
        <v>1185</v>
      </c>
      <c r="D332" s="12">
        <v>553</v>
      </c>
      <c r="E332" s="58" t="s">
        <v>847</v>
      </c>
      <c r="F332" s="12">
        <v>99</v>
      </c>
      <c r="G332" s="12">
        <v>136</v>
      </c>
      <c r="H332" s="12">
        <v>159</v>
      </c>
      <c r="I332" s="12">
        <v>100</v>
      </c>
      <c r="J332" s="58">
        <v>59</v>
      </c>
      <c r="K332" s="67"/>
      <c r="L332" s="89"/>
      <c r="M332" s="63"/>
    </row>
    <row r="333" spans="1:13" hidden="1">
      <c r="A333" s="74"/>
      <c r="B333" s="88">
        <v>45980</v>
      </c>
      <c r="C333" s="58" t="s">
        <v>1185</v>
      </c>
      <c r="D333" s="12">
        <v>944</v>
      </c>
      <c r="E333" s="58" t="s">
        <v>697</v>
      </c>
      <c r="F333" s="12">
        <v>3736</v>
      </c>
      <c r="G333" s="12">
        <v>7412</v>
      </c>
      <c r="H333" s="12">
        <v>10346</v>
      </c>
      <c r="I333" s="12">
        <v>8000</v>
      </c>
      <c r="J333" s="58">
        <v>2346</v>
      </c>
      <c r="K333" s="67"/>
      <c r="L333" s="89"/>
      <c r="M333" s="63"/>
    </row>
    <row r="334" spans="1:13" hidden="1">
      <c r="A334" s="74"/>
      <c r="B334" s="88">
        <v>45979</v>
      </c>
      <c r="C334" s="58" t="s">
        <v>1185</v>
      </c>
      <c r="D334" s="12">
        <v>880</v>
      </c>
      <c r="E334" s="58" t="s">
        <v>290</v>
      </c>
      <c r="F334" s="12">
        <v>4</v>
      </c>
      <c r="G334" s="12">
        <v>21</v>
      </c>
      <c r="H334" s="12">
        <v>36</v>
      </c>
      <c r="I334" s="12">
        <v>15</v>
      </c>
      <c r="J334" s="58">
        <v>21</v>
      </c>
      <c r="K334" s="67"/>
      <c r="L334" s="89"/>
      <c r="M334" s="63"/>
    </row>
    <row r="335" spans="1:13" hidden="1">
      <c r="A335" s="74"/>
      <c r="B335" s="88">
        <v>45975</v>
      </c>
      <c r="C335" s="58" t="s">
        <v>1198</v>
      </c>
      <c r="D335" s="12">
        <v>50</v>
      </c>
      <c r="E335" s="58" t="s">
        <v>305</v>
      </c>
      <c r="F335" s="12">
        <v>21</v>
      </c>
      <c r="G335" s="12">
        <v>90</v>
      </c>
      <c r="H335" s="12">
        <v>200</v>
      </c>
      <c r="I335" s="12">
        <v>0</v>
      </c>
      <c r="J335" s="58">
        <v>200</v>
      </c>
      <c r="K335" s="67"/>
      <c r="L335" s="89"/>
      <c r="M335" s="63"/>
    </row>
    <row r="336" spans="1:13" hidden="1">
      <c r="A336" s="74"/>
      <c r="B336" s="88">
        <v>45974</v>
      </c>
      <c r="C336" s="58" t="s">
        <v>1198</v>
      </c>
      <c r="D336" s="12">
        <v>1415</v>
      </c>
      <c r="E336" s="58" t="s">
        <v>992</v>
      </c>
      <c r="F336" s="12">
        <v>0</v>
      </c>
      <c r="G336" s="12">
        <v>0</v>
      </c>
      <c r="H336" s="12">
        <v>1</v>
      </c>
      <c r="I336" s="12">
        <v>0</v>
      </c>
      <c r="J336" s="58">
        <v>1</v>
      </c>
      <c r="K336" s="67"/>
      <c r="L336" s="89"/>
      <c r="M336" s="63"/>
    </row>
    <row r="337" spans="1:13" hidden="1">
      <c r="A337" s="74"/>
      <c r="B337" s="88">
        <v>45974</v>
      </c>
      <c r="C337" s="58" t="s">
        <v>1198</v>
      </c>
      <c r="D337" s="12">
        <v>1061</v>
      </c>
      <c r="E337" s="58" t="s">
        <v>269</v>
      </c>
      <c r="F337" s="12">
        <v>2</v>
      </c>
      <c r="G337" s="12">
        <v>12</v>
      </c>
      <c r="H337" s="12">
        <v>20</v>
      </c>
      <c r="I337" s="12">
        <v>12</v>
      </c>
      <c r="J337" s="58">
        <v>8</v>
      </c>
      <c r="K337" s="67"/>
      <c r="L337" s="89"/>
      <c r="M337" s="63"/>
    </row>
    <row r="338" spans="1:13" hidden="1">
      <c r="A338" s="74"/>
      <c r="B338" s="88">
        <v>45974</v>
      </c>
      <c r="C338" s="58" t="s">
        <v>1198</v>
      </c>
      <c r="D338" s="12">
        <v>225</v>
      </c>
      <c r="E338" s="58" t="s">
        <v>183</v>
      </c>
      <c r="F338" s="12">
        <v>0</v>
      </c>
      <c r="G338" s="12">
        <v>1</v>
      </c>
      <c r="H338" s="12">
        <v>1</v>
      </c>
      <c r="I338" s="12">
        <v>0</v>
      </c>
      <c r="J338" s="58">
        <v>1</v>
      </c>
      <c r="K338" s="67"/>
      <c r="L338" s="89"/>
      <c r="M338" s="63"/>
    </row>
    <row r="339" spans="1:13" hidden="1">
      <c r="A339" s="74"/>
      <c r="B339" s="88">
        <v>45974</v>
      </c>
      <c r="C339" s="58" t="s">
        <v>1198</v>
      </c>
      <c r="D339" s="12">
        <v>159</v>
      </c>
      <c r="E339" s="58" t="s">
        <v>51</v>
      </c>
      <c r="F339" s="12">
        <v>0</v>
      </c>
      <c r="G339" s="12">
        <v>1</v>
      </c>
      <c r="H339" s="12">
        <v>2</v>
      </c>
      <c r="I339" s="12">
        <v>0</v>
      </c>
      <c r="J339" s="58">
        <v>2</v>
      </c>
      <c r="K339" s="67"/>
      <c r="L339" s="89"/>
      <c r="M339" s="63"/>
    </row>
    <row r="340" spans="1:13" hidden="1">
      <c r="A340" s="74"/>
      <c r="B340" s="88">
        <v>45974</v>
      </c>
      <c r="C340" s="58" t="s">
        <v>1198</v>
      </c>
      <c r="D340" s="12">
        <v>254</v>
      </c>
      <c r="E340" s="58" t="s">
        <v>499</v>
      </c>
      <c r="F340" s="12">
        <v>50</v>
      </c>
      <c r="G340" s="12">
        <v>801</v>
      </c>
      <c r="H340" s="12">
        <v>1200</v>
      </c>
      <c r="I340" s="12">
        <v>150</v>
      </c>
      <c r="J340" s="58">
        <v>1050</v>
      </c>
      <c r="K340" s="67"/>
      <c r="L340" s="89"/>
      <c r="M340" s="63"/>
    </row>
    <row r="341" spans="1:13" hidden="1">
      <c r="A341" s="74"/>
      <c r="B341" s="88">
        <v>45974</v>
      </c>
      <c r="C341" s="58" t="s">
        <v>1184</v>
      </c>
      <c r="D341" s="12">
        <v>224</v>
      </c>
      <c r="E341" s="58" t="s">
        <v>1077</v>
      </c>
      <c r="F341" s="12">
        <v>0</v>
      </c>
      <c r="G341" s="12">
        <v>7</v>
      </c>
      <c r="H341" s="12">
        <v>13</v>
      </c>
      <c r="I341" s="12">
        <v>0</v>
      </c>
      <c r="J341" s="58">
        <v>13</v>
      </c>
      <c r="K341" s="67"/>
      <c r="L341" s="89"/>
      <c r="M341" s="63"/>
    </row>
    <row r="342" spans="1:13" hidden="1">
      <c r="A342" s="74"/>
      <c r="B342" s="88">
        <v>45973</v>
      </c>
      <c r="C342" s="58" t="s">
        <v>1184</v>
      </c>
      <c r="D342" s="12">
        <v>1317</v>
      </c>
      <c r="E342" s="58" t="s">
        <v>1135</v>
      </c>
      <c r="F342" s="12">
        <v>403</v>
      </c>
      <c r="G342" s="12">
        <v>662</v>
      </c>
      <c r="H342" s="12">
        <v>755</v>
      </c>
      <c r="I342" s="12">
        <v>460</v>
      </c>
      <c r="J342" s="58">
        <v>295</v>
      </c>
      <c r="K342" s="67"/>
      <c r="L342" s="89"/>
      <c r="M342" s="63"/>
    </row>
    <row r="343" spans="1:13" hidden="1">
      <c r="A343" s="74"/>
      <c r="B343" s="88">
        <v>45973</v>
      </c>
      <c r="C343" s="58" t="s">
        <v>1184</v>
      </c>
      <c r="D343" s="12">
        <v>1008</v>
      </c>
      <c r="E343" s="58" t="s">
        <v>1001</v>
      </c>
      <c r="F343" s="12">
        <v>41</v>
      </c>
      <c r="G343" s="12">
        <v>0</v>
      </c>
      <c r="H343" s="12">
        <v>40</v>
      </c>
      <c r="I343" s="12">
        <v>0</v>
      </c>
      <c r="J343" s="58">
        <v>40</v>
      </c>
      <c r="K343" s="67"/>
      <c r="L343" s="89"/>
      <c r="M343" s="63"/>
    </row>
    <row r="344" spans="1:13" hidden="1">
      <c r="A344" s="74"/>
      <c r="B344" s="88">
        <v>45972</v>
      </c>
      <c r="C344" s="58" t="s">
        <v>1184</v>
      </c>
      <c r="D344" s="12">
        <v>1432</v>
      </c>
      <c r="E344" s="58" t="s">
        <v>708</v>
      </c>
      <c r="F344" s="12">
        <v>34</v>
      </c>
      <c r="G344" s="12">
        <v>39</v>
      </c>
      <c r="H344" s="12">
        <v>34</v>
      </c>
      <c r="I344" s="12">
        <v>20</v>
      </c>
      <c r="J344" s="58">
        <v>14</v>
      </c>
      <c r="K344" s="67"/>
      <c r="L344" s="89"/>
      <c r="M344" s="63"/>
    </row>
    <row r="345" spans="1:13" hidden="1">
      <c r="A345" s="74"/>
      <c r="B345" s="88">
        <v>45972</v>
      </c>
      <c r="C345" s="58" t="s">
        <v>1184</v>
      </c>
      <c r="D345" s="12">
        <v>248</v>
      </c>
      <c r="E345" s="58" t="s">
        <v>273</v>
      </c>
      <c r="F345" s="12">
        <v>11</v>
      </c>
      <c r="G345" s="12">
        <v>9</v>
      </c>
      <c r="H345" s="12">
        <v>4</v>
      </c>
      <c r="I345" s="12">
        <v>0</v>
      </c>
      <c r="J345" s="58">
        <v>4</v>
      </c>
      <c r="K345" s="67"/>
      <c r="L345" s="89"/>
      <c r="M345" s="63"/>
    </row>
    <row r="346" spans="1:13" hidden="1">
      <c r="A346" s="74"/>
      <c r="B346" s="88">
        <v>45972</v>
      </c>
      <c r="C346" s="58" t="s">
        <v>1184</v>
      </c>
      <c r="D346" s="12">
        <v>247</v>
      </c>
      <c r="E346" s="58" t="s">
        <v>272</v>
      </c>
      <c r="F346" s="12">
        <v>9</v>
      </c>
      <c r="G346" s="12">
        <v>13</v>
      </c>
      <c r="H346" s="12">
        <v>13</v>
      </c>
      <c r="I346" s="12">
        <v>0</v>
      </c>
      <c r="J346" s="58">
        <v>13</v>
      </c>
      <c r="K346" s="67"/>
      <c r="L346" s="89"/>
      <c r="M346" s="63"/>
    </row>
    <row r="347" spans="1:13" hidden="1">
      <c r="A347" s="74"/>
      <c r="B347" s="88">
        <v>45972</v>
      </c>
      <c r="C347" s="58" t="s">
        <v>1184</v>
      </c>
      <c r="D347" s="12">
        <v>225</v>
      </c>
      <c r="E347" s="58" t="s">
        <v>183</v>
      </c>
      <c r="F347" s="12">
        <v>1</v>
      </c>
      <c r="G347" s="12">
        <v>0</v>
      </c>
      <c r="H347" s="12">
        <v>1</v>
      </c>
      <c r="I347" s="12">
        <v>0</v>
      </c>
      <c r="J347" s="58">
        <v>1</v>
      </c>
      <c r="K347" s="67"/>
      <c r="L347" s="89"/>
      <c r="M347" s="63"/>
    </row>
    <row r="348" spans="1:13" hidden="1">
      <c r="A348" s="74"/>
      <c r="B348" s="88">
        <v>45972</v>
      </c>
      <c r="C348" s="58" t="s">
        <v>1184</v>
      </c>
      <c r="D348" s="12">
        <v>1415</v>
      </c>
      <c r="E348" s="58" t="s">
        <v>992</v>
      </c>
      <c r="F348" s="12">
        <v>0</v>
      </c>
      <c r="G348" s="12">
        <v>1</v>
      </c>
      <c r="H348" s="12">
        <v>1</v>
      </c>
      <c r="I348" s="12">
        <v>0</v>
      </c>
      <c r="J348" s="58">
        <v>1</v>
      </c>
      <c r="K348" s="67"/>
      <c r="L348" s="89"/>
      <c r="M348" s="63"/>
    </row>
    <row r="349" spans="1:13" hidden="1">
      <c r="A349" s="74"/>
      <c r="B349" s="88">
        <v>45972</v>
      </c>
      <c r="C349" s="58" t="s">
        <v>1183</v>
      </c>
      <c r="D349" s="12">
        <v>1005</v>
      </c>
      <c r="E349" s="58" t="s">
        <v>997</v>
      </c>
      <c r="F349" s="12">
        <v>0</v>
      </c>
      <c r="G349" s="12">
        <v>0</v>
      </c>
      <c r="H349" s="12">
        <v>20</v>
      </c>
      <c r="I349" s="12">
        <v>0</v>
      </c>
      <c r="J349" s="58">
        <v>20</v>
      </c>
      <c r="K349" s="67"/>
      <c r="L349" s="89"/>
      <c r="M349" s="63"/>
    </row>
    <row r="350" spans="1:13" hidden="1">
      <c r="A350" s="74"/>
      <c r="B350" s="88">
        <v>45972</v>
      </c>
      <c r="C350" s="58" t="s">
        <v>1183</v>
      </c>
      <c r="D350" s="12">
        <v>17939</v>
      </c>
      <c r="E350" s="58" t="s">
        <v>1007</v>
      </c>
      <c r="F350" s="12">
        <v>200</v>
      </c>
      <c r="G350" s="12">
        <v>190</v>
      </c>
      <c r="H350" s="12">
        <v>200</v>
      </c>
      <c r="I350" s="12">
        <v>90</v>
      </c>
      <c r="J350" s="58">
        <v>110</v>
      </c>
      <c r="K350" s="67"/>
      <c r="L350" s="89"/>
      <c r="M350" s="63"/>
    </row>
    <row r="351" spans="1:13" hidden="1">
      <c r="A351" s="74"/>
      <c r="B351" s="88">
        <v>45972</v>
      </c>
      <c r="C351" s="58" t="s">
        <v>1183</v>
      </c>
      <c r="D351" s="12">
        <v>1008</v>
      </c>
      <c r="E351" s="58" t="s">
        <v>1001</v>
      </c>
      <c r="F351" s="12">
        <v>280</v>
      </c>
      <c r="G351" s="12">
        <v>110</v>
      </c>
      <c r="H351" s="12">
        <v>40</v>
      </c>
      <c r="I351" s="12">
        <v>0</v>
      </c>
      <c r="J351" s="58">
        <v>40</v>
      </c>
      <c r="K351" s="67"/>
      <c r="L351" s="89"/>
      <c r="M351" s="63"/>
    </row>
    <row r="352" spans="1:13" hidden="1">
      <c r="A352" s="74"/>
      <c r="B352" s="88">
        <v>45971</v>
      </c>
      <c r="C352" s="58" t="s">
        <v>1183</v>
      </c>
      <c r="D352" s="12">
        <v>1129</v>
      </c>
      <c r="E352" s="58" t="s">
        <v>795</v>
      </c>
      <c r="F352" s="12">
        <v>0</v>
      </c>
      <c r="G352" s="12">
        <v>0</v>
      </c>
      <c r="H352" s="12">
        <v>2</v>
      </c>
      <c r="I352" s="12">
        <v>0</v>
      </c>
      <c r="J352" s="58">
        <v>2</v>
      </c>
      <c r="K352" s="67"/>
      <c r="L352" s="89"/>
      <c r="M352" s="63"/>
    </row>
    <row r="353" spans="1:13" hidden="1">
      <c r="A353" s="74"/>
      <c r="B353" s="88">
        <v>45971</v>
      </c>
      <c r="C353" s="58" t="s">
        <v>1183</v>
      </c>
      <c r="D353" s="12">
        <v>248</v>
      </c>
      <c r="E353" s="58" t="s">
        <v>273</v>
      </c>
      <c r="F353" s="12">
        <v>500</v>
      </c>
      <c r="G353" s="12">
        <v>40</v>
      </c>
      <c r="H353" s="12">
        <v>300</v>
      </c>
      <c r="I353" s="12">
        <v>0</v>
      </c>
      <c r="J353" s="58">
        <v>300</v>
      </c>
      <c r="K353" s="67"/>
      <c r="L353" s="89"/>
      <c r="M353" s="63"/>
    </row>
    <row r="354" spans="1:13" hidden="1">
      <c r="A354" s="74"/>
      <c r="B354" s="88">
        <v>45971</v>
      </c>
      <c r="C354" s="58" t="s">
        <v>1182</v>
      </c>
      <c r="D354" s="12">
        <v>17939</v>
      </c>
      <c r="E354" s="58" t="s">
        <v>1007</v>
      </c>
      <c r="F354" s="12">
        <v>80</v>
      </c>
      <c r="G354" s="12">
        <v>178</v>
      </c>
      <c r="H354" s="12">
        <v>240</v>
      </c>
      <c r="I354" s="12">
        <v>90</v>
      </c>
      <c r="J354" s="58">
        <v>150</v>
      </c>
      <c r="K354" s="67"/>
      <c r="L354" s="89"/>
      <c r="M354" s="63"/>
    </row>
    <row r="355" spans="1:13" hidden="1">
      <c r="A355" s="74"/>
      <c r="B355" s="88">
        <v>45971</v>
      </c>
      <c r="C355" s="58" t="s">
        <v>1182</v>
      </c>
      <c r="D355" s="12">
        <v>553</v>
      </c>
      <c r="E355" s="58" t="s">
        <v>847</v>
      </c>
      <c r="F355" s="12">
        <v>50</v>
      </c>
      <c r="G355" s="12">
        <v>276</v>
      </c>
      <c r="H355" s="12">
        <v>280</v>
      </c>
      <c r="I355" s="12">
        <v>0</v>
      </c>
      <c r="J355" s="58">
        <v>280</v>
      </c>
      <c r="K355" s="67"/>
      <c r="L355" s="89"/>
      <c r="M355" s="63"/>
    </row>
    <row r="356" spans="1:13" hidden="1">
      <c r="A356" s="74"/>
      <c r="B356" s="88">
        <v>45971</v>
      </c>
      <c r="C356" s="58" t="s">
        <v>1182</v>
      </c>
      <c r="D356" s="12">
        <v>1008</v>
      </c>
      <c r="E356" s="58" t="s">
        <v>1001</v>
      </c>
      <c r="F356" s="12">
        <v>169</v>
      </c>
      <c r="G356" s="12">
        <v>267</v>
      </c>
      <c r="H356" s="12">
        <v>280</v>
      </c>
      <c r="I356" s="12">
        <v>80</v>
      </c>
      <c r="J356" s="58">
        <v>200</v>
      </c>
      <c r="K356" s="67"/>
      <c r="L356" s="89"/>
      <c r="M356" s="63"/>
    </row>
    <row r="357" spans="1:13" hidden="1">
      <c r="A357" s="74"/>
      <c r="B357" s="88">
        <v>45968</v>
      </c>
      <c r="C357" s="58" t="s">
        <v>1182</v>
      </c>
      <c r="D357" s="12">
        <v>248</v>
      </c>
      <c r="E357" s="58" t="s">
        <v>273</v>
      </c>
      <c r="F357" s="12">
        <v>4</v>
      </c>
      <c r="G357" s="12">
        <v>9</v>
      </c>
      <c r="H357" s="12">
        <v>8</v>
      </c>
      <c r="I357" s="12">
        <v>0</v>
      </c>
      <c r="J357" s="58">
        <v>8</v>
      </c>
      <c r="K357" s="67"/>
      <c r="L357" s="89"/>
      <c r="M357" s="63"/>
    </row>
    <row r="358" spans="1:13" hidden="1">
      <c r="A358" s="74"/>
      <c r="B358" s="88">
        <v>45966</v>
      </c>
      <c r="C358" s="58" t="s">
        <v>1194</v>
      </c>
      <c r="D358" s="12">
        <v>1416</v>
      </c>
      <c r="E358" s="58" t="s">
        <v>993</v>
      </c>
      <c r="F358" s="12">
        <v>0</v>
      </c>
      <c r="G358" s="12">
        <v>0</v>
      </c>
      <c r="H358" s="12">
        <v>2</v>
      </c>
      <c r="I358" s="12">
        <v>0</v>
      </c>
      <c r="J358" s="58">
        <v>2</v>
      </c>
      <c r="K358" s="67"/>
      <c r="L358" s="89"/>
      <c r="M358" s="63"/>
    </row>
    <row r="359" spans="1:13" hidden="1">
      <c r="A359" s="74"/>
      <c r="B359" s="88">
        <v>45966</v>
      </c>
      <c r="C359" s="58" t="s">
        <v>1194</v>
      </c>
      <c r="D359" s="12">
        <v>1415</v>
      </c>
      <c r="E359" s="58" t="s">
        <v>992</v>
      </c>
      <c r="F359" s="12">
        <v>0</v>
      </c>
      <c r="G359" s="12">
        <v>0</v>
      </c>
      <c r="H359" s="12">
        <v>2</v>
      </c>
      <c r="I359" s="12">
        <v>0</v>
      </c>
      <c r="J359" s="58">
        <v>2</v>
      </c>
      <c r="K359" s="67"/>
      <c r="L359" s="89"/>
      <c r="M359" s="63"/>
    </row>
    <row r="360" spans="1:13" hidden="1">
      <c r="A360" s="74"/>
      <c r="B360" s="88">
        <v>45966</v>
      </c>
      <c r="C360" s="58" t="s">
        <v>1193</v>
      </c>
      <c r="D360" s="12">
        <v>254</v>
      </c>
      <c r="E360" s="58" t="s">
        <v>499</v>
      </c>
      <c r="F360" s="12">
        <v>45</v>
      </c>
      <c r="G360" s="12">
        <v>267</v>
      </c>
      <c r="H360" s="12">
        <v>500</v>
      </c>
      <c r="I360" s="12">
        <v>300</v>
      </c>
      <c r="J360" s="58">
        <v>200</v>
      </c>
      <c r="K360" s="67"/>
      <c r="L360" s="89"/>
      <c r="M360" s="63"/>
    </row>
    <row r="361" spans="1:13" hidden="1">
      <c r="A361" s="74"/>
      <c r="B361" s="88">
        <v>45966</v>
      </c>
      <c r="C361" s="58" t="s">
        <v>1193</v>
      </c>
      <c r="D361" s="12">
        <v>248</v>
      </c>
      <c r="E361" s="58" t="s">
        <v>273</v>
      </c>
      <c r="F361" s="12">
        <v>2</v>
      </c>
      <c r="G361" s="12">
        <v>4</v>
      </c>
      <c r="H361" s="12">
        <v>10</v>
      </c>
      <c r="I361" s="12">
        <v>5</v>
      </c>
      <c r="J361" s="58">
        <v>5</v>
      </c>
      <c r="K361" s="67"/>
      <c r="L361" s="89"/>
      <c r="M361" s="63"/>
    </row>
    <row r="362" spans="1:13" hidden="1">
      <c r="A362" s="74"/>
      <c r="B362" s="88">
        <v>45966</v>
      </c>
      <c r="C362" s="58" t="s">
        <v>1193</v>
      </c>
      <c r="D362" s="12">
        <v>22692</v>
      </c>
      <c r="E362" s="58" t="s">
        <v>354</v>
      </c>
      <c r="F362" s="12">
        <v>2</v>
      </c>
      <c r="G362" s="12">
        <v>4</v>
      </c>
      <c r="H362" s="12">
        <v>10</v>
      </c>
      <c r="I362" s="12">
        <v>0</v>
      </c>
      <c r="J362" s="58">
        <v>10</v>
      </c>
      <c r="K362" s="67"/>
      <c r="L362" s="89"/>
      <c r="M362" s="63"/>
    </row>
    <row r="363" spans="1:13" hidden="1">
      <c r="A363" s="74"/>
      <c r="B363" s="88">
        <v>45966</v>
      </c>
      <c r="C363" s="58" t="s">
        <v>1192</v>
      </c>
      <c r="D363" s="12">
        <v>1165</v>
      </c>
      <c r="E363" s="58" t="s">
        <v>1154</v>
      </c>
      <c r="F363" s="12">
        <v>0</v>
      </c>
      <c r="G363" s="12">
        <v>0</v>
      </c>
      <c r="H363" s="12">
        <v>10</v>
      </c>
      <c r="I363" s="12">
        <v>0</v>
      </c>
      <c r="J363" s="58">
        <v>10</v>
      </c>
      <c r="K363" s="67"/>
      <c r="L363" s="89"/>
      <c r="M363" s="63"/>
    </row>
    <row r="364" spans="1:13" hidden="1">
      <c r="A364" s="74"/>
      <c r="B364" s="88">
        <v>45966</v>
      </c>
      <c r="C364" s="58" t="s">
        <v>1299</v>
      </c>
      <c r="D364" s="12">
        <v>814</v>
      </c>
      <c r="E364" s="58" t="s">
        <v>854</v>
      </c>
      <c r="F364" s="12">
        <v>27</v>
      </c>
      <c r="G364" s="12">
        <v>133</v>
      </c>
      <c r="H364" s="12">
        <v>150</v>
      </c>
      <c r="I364" s="12">
        <v>110</v>
      </c>
      <c r="J364" s="58">
        <v>40</v>
      </c>
      <c r="K364" s="67"/>
      <c r="L364" s="89"/>
      <c r="M364" s="63"/>
    </row>
    <row r="365" spans="1:13" hidden="1">
      <c r="A365" s="74"/>
      <c r="B365" s="88">
        <v>45966</v>
      </c>
      <c r="C365" s="58" t="s">
        <v>1299</v>
      </c>
      <c r="D365" s="12">
        <v>14</v>
      </c>
      <c r="E365" s="58" t="s">
        <v>850</v>
      </c>
      <c r="F365" s="12">
        <v>14</v>
      </c>
      <c r="G365" s="12">
        <v>10</v>
      </c>
      <c r="H365" s="12">
        <v>20</v>
      </c>
      <c r="I365" s="12">
        <v>0</v>
      </c>
      <c r="J365" s="58">
        <v>20</v>
      </c>
      <c r="K365" s="67"/>
      <c r="L365" s="89"/>
      <c r="M365" s="63"/>
    </row>
    <row r="366" spans="1:13" hidden="1">
      <c r="A366" s="74"/>
      <c r="B366" s="88">
        <v>45966</v>
      </c>
      <c r="C366" s="58" t="s">
        <v>1299</v>
      </c>
      <c r="D366" s="12">
        <v>608</v>
      </c>
      <c r="E366" s="58" t="s">
        <v>848</v>
      </c>
      <c r="F366" s="12">
        <v>0</v>
      </c>
      <c r="G366" s="12">
        <v>6</v>
      </c>
      <c r="H366" s="12">
        <v>15</v>
      </c>
      <c r="I366" s="12">
        <v>0</v>
      </c>
      <c r="J366" s="58">
        <v>15</v>
      </c>
      <c r="K366" s="67"/>
      <c r="L366" s="89"/>
      <c r="M366" s="63"/>
    </row>
    <row r="367" spans="1:13" hidden="1">
      <c r="A367" s="74"/>
      <c r="B367" s="88">
        <v>45966</v>
      </c>
      <c r="C367" s="58" t="s">
        <v>1191</v>
      </c>
      <c r="D367" s="12">
        <v>22898</v>
      </c>
      <c r="E367" s="58" t="s">
        <v>1087</v>
      </c>
      <c r="F367" s="12">
        <v>0</v>
      </c>
      <c r="G367" s="12">
        <v>3</v>
      </c>
      <c r="H367" s="12">
        <v>6</v>
      </c>
      <c r="I367" s="12">
        <v>0</v>
      </c>
      <c r="J367" s="58">
        <v>6</v>
      </c>
      <c r="K367" s="67"/>
      <c r="L367" s="89"/>
      <c r="M367" s="63"/>
    </row>
    <row r="368" spans="1:13" hidden="1">
      <c r="A368" s="74"/>
      <c r="B368" s="88">
        <v>45966</v>
      </c>
      <c r="C368" s="58" t="s">
        <v>1191</v>
      </c>
      <c r="D368" s="12">
        <v>22201</v>
      </c>
      <c r="E368" s="58" t="s">
        <v>1072</v>
      </c>
      <c r="F368" s="12">
        <v>0</v>
      </c>
      <c r="G368" s="12">
        <v>1</v>
      </c>
      <c r="H368" s="12">
        <v>2</v>
      </c>
      <c r="I368" s="12">
        <v>1</v>
      </c>
      <c r="J368" s="58">
        <v>1</v>
      </c>
      <c r="K368" s="67"/>
      <c r="L368" s="89"/>
      <c r="M368" s="63"/>
    </row>
    <row r="369" spans="1:13" hidden="1">
      <c r="A369" s="74"/>
      <c r="B369" s="88">
        <v>45966</v>
      </c>
      <c r="C369" s="58" t="s">
        <v>1191</v>
      </c>
      <c r="D369" s="12">
        <v>224</v>
      </c>
      <c r="E369" s="58" t="s">
        <v>1077</v>
      </c>
      <c r="F369" s="12">
        <v>0</v>
      </c>
      <c r="G369" s="12">
        <v>13</v>
      </c>
      <c r="H369" s="12">
        <v>25</v>
      </c>
      <c r="I369" s="12">
        <v>0</v>
      </c>
      <c r="J369" s="58">
        <v>25</v>
      </c>
      <c r="K369" s="67"/>
      <c r="L369" s="89"/>
      <c r="M369" s="63"/>
    </row>
    <row r="370" spans="1:13" hidden="1">
      <c r="A370" s="74"/>
      <c r="B370" s="88">
        <v>45965</v>
      </c>
      <c r="C370" s="58" t="s">
        <v>1191</v>
      </c>
      <c r="D370" s="12">
        <v>1317</v>
      </c>
      <c r="E370" s="58" t="s">
        <v>1135</v>
      </c>
      <c r="F370" s="12">
        <v>170</v>
      </c>
      <c r="G370" s="12">
        <v>403</v>
      </c>
      <c r="H370" s="12">
        <v>900</v>
      </c>
      <c r="I370" s="12">
        <v>400</v>
      </c>
      <c r="J370" s="58">
        <v>500</v>
      </c>
      <c r="K370" s="67"/>
      <c r="L370" s="89"/>
      <c r="M370" s="63"/>
    </row>
    <row r="371" spans="1:13" hidden="1">
      <c r="A371" s="74"/>
      <c r="B371" s="88">
        <v>45965</v>
      </c>
      <c r="C371" s="58" t="s">
        <v>1191</v>
      </c>
      <c r="D371" s="12">
        <v>1432</v>
      </c>
      <c r="E371" s="58" t="s">
        <v>708</v>
      </c>
      <c r="F371" s="12">
        <v>0</v>
      </c>
      <c r="G371" s="12">
        <v>200</v>
      </c>
      <c r="H371" s="12">
        <v>300</v>
      </c>
      <c r="I371" s="12">
        <v>50</v>
      </c>
      <c r="J371" s="58">
        <v>250</v>
      </c>
      <c r="K371" s="67"/>
      <c r="L371" s="89"/>
      <c r="M371" s="63"/>
    </row>
    <row r="372" spans="1:13" hidden="1">
      <c r="A372" s="74"/>
      <c r="B372" s="88">
        <v>45965</v>
      </c>
      <c r="C372" s="58" t="s">
        <v>1191</v>
      </c>
      <c r="D372" s="12">
        <v>1061</v>
      </c>
      <c r="E372" s="58" t="s">
        <v>269</v>
      </c>
      <c r="F372" s="12">
        <v>2</v>
      </c>
      <c r="G372" s="12">
        <v>13</v>
      </c>
      <c r="H372" s="12">
        <v>24</v>
      </c>
      <c r="I372" s="12">
        <v>13</v>
      </c>
      <c r="J372" s="58">
        <v>11</v>
      </c>
      <c r="K372" s="67"/>
      <c r="L372" s="89"/>
      <c r="M372" s="63"/>
    </row>
    <row r="373" spans="1:13" hidden="1">
      <c r="A373" s="74"/>
      <c r="B373" s="88">
        <v>45965</v>
      </c>
      <c r="C373" s="58" t="s">
        <v>1191</v>
      </c>
      <c r="D373" s="12">
        <v>1416</v>
      </c>
      <c r="E373" s="58" t="s">
        <v>993</v>
      </c>
      <c r="F373" s="12">
        <v>0</v>
      </c>
      <c r="G373" s="12">
        <v>1</v>
      </c>
      <c r="H373" s="12">
        <v>1</v>
      </c>
      <c r="I373" s="12">
        <v>0</v>
      </c>
      <c r="J373" s="58">
        <v>1</v>
      </c>
      <c r="K373" s="67"/>
      <c r="L373" s="89"/>
      <c r="M373" s="63"/>
    </row>
    <row r="374" spans="1:13" hidden="1">
      <c r="A374" s="74"/>
      <c r="B374" s="88">
        <v>45965</v>
      </c>
      <c r="C374" s="58" t="s">
        <v>1191</v>
      </c>
      <c r="D374" s="12">
        <v>1415</v>
      </c>
      <c r="E374" s="58" t="s">
        <v>992</v>
      </c>
      <c r="F374" s="12">
        <v>0</v>
      </c>
      <c r="G374" s="12">
        <v>1</v>
      </c>
      <c r="H374" s="12">
        <v>2</v>
      </c>
      <c r="I374" s="12">
        <v>0</v>
      </c>
      <c r="J374" s="58">
        <v>2</v>
      </c>
      <c r="K374" s="67"/>
      <c r="L374" s="89"/>
      <c r="M374" s="63"/>
    </row>
    <row r="375" spans="1:13" hidden="1">
      <c r="A375" s="74"/>
      <c r="B375" s="88">
        <v>45965</v>
      </c>
      <c r="C375" s="58" t="s">
        <v>1191</v>
      </c>
      <c r="D375" s="12">
        <v>1432</v>
      </c>
      <c r="E375" s="58" t="s">
        <v>708</v>
      </c>
      <c r="F375" s="12">
        <v>0</v>
      </c>
      <c r="G375" s="12">
        <v>200</v>
      </c>
      <c r="H375" s="12">
        <v>300</v>
      </c>
      <c r="I375" s="12">
        <v>400</v>
      </c>
      <c r="J375" s="58">
        <v>-100</v>
      </c>
      <c r="K375" s="67"/>
      <c r="L375" s="89"/>
      <c r="M375" s="63"/>
    </row>
    <row r="376" spans="1:13" hidden="1">
      <c r="A376" s="74"/>
      <c r="B376" s="88">
        <v>45965</v>
      </c>
      <c r="C376" s="58" t="s">
        <v>1191</v>
      </c>
      <c r="D376" s="12">
        <v>254</v>
      </c>
      <c r="E376" s="58" t="s">
        <v>499</v>
      </c>
      <c r="F376" s="12">
        <v>0</v>
      </c>
      <c r="G376" s="12">
        <v>333</v>
      </c>
      <c r="H376" s="12">
        <v>500</v>
      </c>
      <c r="I376" s="12">
        <v>400</v>
      </c>
      <c r="J376" s="58">
        <v>100</v>
      </c>
      <c r="K376" s="67"/>
      <c r="L376" s="89"/>
      <c r="M376" s="63"/>
    </row>
    <row r="377" spans="1:13" hidden="1">
      <c r="A377" s="74"/>
      <c r="B377" s="88">
        <v>45965</v>
      </c>
      <c r="C377" s="58" t="s">
        <v>1191</v>
      </c>
      <c r="D377" s="12">
        <v>248</v>
      </c>
      <c r="E377" s="58" t="s">
        <v>273</v>
      </c>
      <c r="F377" s="12">
        <v>10</v>
      </c>
      <c r="G377" s="12">
        <v>29</v>
      </c>
      <c r="H377" s="12">
        <v>33</v>
      </c>
      <c r="I377" s="12">
        <v>10</v>
      </c>
      <c r="J377" s="58">
        <v>23</v>
      </c>
      <c r="K377" s="67"/>
      <c r="L377" s="89"/>
      <c r="M377" s="63"/>
    </row>
    <row r="378" spans="1:13" hidden="1">
      <c r="A378" s="74"/>
      <c r="B378" s="88">
        <v>45965</v>
      </c>
      <c r="C378" s="58" t="s">
        <v>1191</v>
      </c>
      <c r="D378" s="12">
        <v>247</v>
      </c>
      <c r="E378" s="58" t="s">
        <v>272</v>
      </c>
      <c r="F378" s="12">
        <v>0</v>
      </c>
      <c r="G378" s="12">
        <v>7</v>
      </c>
      <c r="H378" s="12">
        <v>10</v>
      </c>
      <c r="I378" s="12">
        <v>0</v>
      </c>
      <c r="J378" s="58">
        <v>10</v>
      </c>
      <c r="K378" s="67"/>
      <c r="L378" s="89"/>
      <c r="M378" s="63"/>
    </row>
    <row r="379" spans="1:13" hidden="1">
      <c r="A379" s="74"/>
      <c r="B379" s="88">
        <v>45965</v>
      </c>
      <c r="C379" s="58" t="s">
        <v>1191</v>
      </c>
      <c r="D379" s="12">
        <v>225</v>
      </c>
      <c r="E379" s="58" t="s">
        <v>183</v>
      </c>
      <c r="F379" s="12">
        <v>0</v>
      </c>
      <c r="G379" s="12">
        <v>200</v>
      </c>
      <c r="H379" s="12">
        <v>300</v>
      </c>
      <c r="I379" s="12">
        <v>0</v>
      </c>
      <c r="J379" s="58">
        <v>300</v>
      </c>
      <c r="K379" s="67"/>
      <c r="L379" s="89"/>
      <c r="M379" s="63"/>
    </row>
    <row r="380" spans="1:13" hidden="1">
      <c r="A380" s="74"/>
      <c r="B380" s="88">
        <v>45965</v>
      </c>
      <c r="C380" s="58" t="s">
        <v>1189</v>
      </c>
      <c r="D380" s="12">
        <v>22898</v>
      </c>
      <c r="E380" s="58" t="s">
        <v>1087</v>
      </c>
      <c r="F380" s="12">
        <v>0</v>
      </c>
      <c r="G380" s="12">
        <v>2</v>
      </c>
      <c r="H380" s="12">
        <v>4</v>
      </c>
      <c r="I380" s="12">
        <v>0</v>
      </c>
      <c r="J380" s="58">
        <v>4</v>
      </c>
      <c r="K380" s="67"/>
      <c r="L380" s="89"/>
      <c r="M380" s="63"/>
    </row>
    <row r="381" spans="1:13" hidden="1">
      <c r="A381" s="74"/>
      <c r="B381" s="88">
        <v>45965</v>
      </c>
      <c r="C381" s="58" t="s">
        <v>1189</v>
      </c>
      <c r="D381" s="12">
        <v>224</v>
      </c>
      <c r="E381" s="58" t="s">
        <v>1077</v>
      </c>
      <c r="F381" s="12">
        <v>8</v>
      </c>
      <c r="G381" s="12">
        <v>11</v>
      </c>
      <c r="H381" s="12">
        <v>11</v>
      </c>
      <c r="I381" s="12">
        <v>0</v>
      </c>
      <c r="J381" s="58">
        <v>11</v>
      </c>
      <c r="K381" s="67"/>
      <c r="L381" s="89"/>
      <c r="M381" s="63"/>
    </row>
    <row r="382" spans="1:13" hidden="1">
      <c r="A382" s="74"/>
      <c r="B382" s="88">
        <v>45964</v>
      </c>
      <c r="C382" s="58" t="s">
        <v>1189</v>
      </c>
      <c r="D382" s="12">
        <v>1317</v>
      </c>
      <c r="E382" s="58" t="s">
        <v>1135</v>
      </c>
      <c r="F382" s="12">
        <v>194</v>
      </c>
      <c r="G382" s="12">
        <v>815</v>
      </c>
      <c r="H382" s="12">
        <v>1240</v>
      </c>
      <c r="I382" s="12">
        <v>700</v>
      </c>
      <c r="J382" s="58">
        <v>540</v>
      </c>
      <c r="K382" s="67"/>
      <c r="L382" s="89"/>
      <c r="M382" s="63"/>
    </row>
    <row r="383" spans="1:13" hidden="1">
      <c r="A383" s="74"/>
      <c r="B383" s="88">
        <v>45964</v>
      </c>
      <c r="C383" s="58" t="s">
        <v>1189</v>
      </c>
      <c r="D383" s="12">
        <v>23103</v>
      </c>
      <c r="E383" s="58" t="s">
        <v>303</v>
      </c>
      <c r="F383" s="12">
        <v>0</v>
      </c>
      <c r="G383" s="12">
        <v>5</v>
      </c>
      <c r="H383" s="12">
        <v>10</v>
      </c>
      <c r="I383" s="12">
        <v>5</v>
      </c>
      <c r="J383" s="58">
        <v>5</v>
      </c>
      <c r="K383" s="67"/>
      <c r="L383" s="89"/>
      <c r="M383" s="63"/>
    </row>
    <row r="384" spans="1:13" hidden="1">
      <c r="A384" s="74"/>
      <c r="B384" s="88">
        <v>45964</v>
      </c>
      <c r="C384" s="58" t="s">
        <v>1189</v>
      </c>
      <c r="D384" s="12">
        <v>247</v>
      </c>
      <c r="E384" s="58" t="s">
        <v>272</v>
      </c>
      <c r="F384" s="12">
        <v>825</v>
      </c>
      <c r="G384" s="12">
        <v>500</v>
      </c>
      <c r="H384" s="12">
        <v>50</v>
      </c>
      <c r="I384" s="12">
        <v>0</v>
      </c>
      <c r="J384" s="58">
        <v>50</v>
      </c>
      <c r="K384" s="67"/>
      <c r="L384" s="89"/>
      <c r="M384" s="63"/>
    </row>
    <row r="385" spans="1:13" hidden="1">
      <c r="A385" s="74"/>
      <c r="B385" s="88">
        <v>45964</v>
      </c>
      <c r="C385" s="58" t="s">
        <v>1189</v>
      </c>
      <c r="D385" s="12">
        <v>218</v>
      </c>
      <c r="E385" s="58" t="s">
        <v>95</v>
      </c>
      <c r="F385" s="12">
        <v>0</v>
      </c>
      <c r="G385" s="12">
        <v>40</v>
      </c>
      <c r="H385" s="12">
        <v>100</v>
      </c>
      <c r="I385" s="12">
        <v>0</v>
      </c>
      <c r="J385" s="58">
        <v>100</v>
      </c>
      <c r="K385" s="67"/>
      <c r="L385" s="89"/>
      <c r="M385" s="63"/>
    </row>
    <row r="386" spans="1:13" hidden="1">
      <c r="A386" s="74"/>
      <c r="B386" s="88">
        <v>45964</v>
      </c>
      <c r="C386" s="58" t="s">
        <v>1189</v>
      </c>
      <c r="D386" s="12">
        <v>218</v>
      </c>
      <c r="E386" s="58" t="s">
        <v>95</v>
      </c>
      <c r="F386" s="12">
        <v>0</v>
      </c>
      <c r="G386" s="12">
        <v>40</v>
      </c>
      <c r="H386" s="12">
        <v>100</v>
      </c>
      <c r="I386" s="12">
        <v>0</v>
      </c>
      <c r="J386" s="58">
        <v>100</v>
      </c>
      <c r="K386" s="67"/>
      <c r="L386" s="89"/>
      <c r="M386" s="63"/>
    </row>
    <row r="387" spans="1:13" hidden="1">
      <c r="A387" s="74"/>
      <c r="B387" s="88">
        <v>45964</v>
      </c>
      <c r="C387" s="58" t="s">
        <v>1189</v>
      </c>
      <c r="D387" s="12">
        <v>1530</v>
      </c>
      <c r="E387" s="58" t="s">
        <v>94</v>
      </c>
      <c r="F387" s="12">
        <v>0</v>
      </c>
      <c r="G387" s="12">
        <v>57</v>
      </c>
      <c r="H387" s="12">
        <v>100</v>
      </c>
      <c r="I387" s="12">
        <v>60</v>
      </c>
      <c r="J387" s="58">
        <v>40</v>
      </c>
      <c r="K387" s="67"/>
      <c r="L387" s="89"/>
      <c r="M387" s="63"/>
    </row>
    <row r="388" spans="1:13" hidden="1">
      <c r="A388" s="74"/>
      <c r="B388" s="88">
        <v>45960</v>
      </c>
      <c r="C388" s="58" t="s">
        <v>1190</v>
      </c>
      <c r="D388" s="12">
        <v>218</v>
      </c>
      <c r="E388" s="58" t="s">
        <v>95</v>
      </c>
      <c r="F388" s="12">
        <v>0</v>
      </c>
      <c r="G388" s="12">
        <v>30</v>
      </c>
      <c r="H388" s="12">
        <v>30</v>
      </c>
      <c r="I388" s="12">
        <v>0</v>
      </c>
      <c r="J388" s="58">
        <v>30</v>
      </c>
      <c r="K388" s="67"/>
      <c r="L388" s="89"/>
      <c r="M388" s="63"/>
    </row>
    <row r="389" spans="1:13" hidden="1">
      <c r="A389" s="74"/>
      <c r="B389" s="88">
        <v>45960</v>
      </c>
      <c r="C389" s="58" t="s">
        <v>1190</v>
      </c>
      <c r="D389" s="12">
        <v>247</v>
      </c>
      <c r="E389" s="58" t="s">
        <v>272</v>
      </c>
      <c r="F389" s="12">
        <v>0</v>
      </c>
      <c r="G389" s="12">
        <v>67</v>
      </c>
      <c r="H389" s="12">
        <v>130</v>
      </c>
      <c r="I389" s="12">
        <v>0</v>
      </c>
      <c r="J389" s="58">
        <v>130</v>
      </c>
      <c r="K389" s="67"/>
      <c r="L389" s="89"/>
      <c r="M389" s="63"/>
    </row>
    <row r="390" spans="1:13" hidden="1">
      <c r="A390" s="74"/>
      <c r="B390" s="88">
        <v>45959</v>
      </c>
      <c r="C390" s="58" t="s">
        <v>1188</v>
      </c>
      <c r="D390" s="12">
        <v>22898</v>
      </c>
      <c r="E390" s="58" t="s">
        <v>1087</v>
      </c>
      <c r="F390" s="12">
        <v>0</v>
      </c>
      <c r="G390" s="12">
        <v>4</v>
      </c>
      <c r="H390" s="12">
        <v>6</v>
      </c>
      <c r="I390" s="12">
        <v>0</v>
      </c>
      <c r="J390" s="58">
        <v>6</v>
      </c>
      <c r="K390" s="67"/>
      <c r="L390" s="89"/>
      <c r="M390" s="63"/>
    </row>
    <row r="391" spans="1:13" hidden="1">
      <c r="A391" s="74"/>
      <c r="B391" s="88">
        <v>45959</v>
      </c>
      <c r="C391" s="58" t="s">
        <v>1188</v>
      </c>
      <c r="D391" s="12">
        <v>254</v>
      </c>
      <c r="E391" s="58" t="s">
        <v>499</v>
      </c>
      <c r="F391" s="12">
        <v>50</v>
      </c>
      <c r="G391" s="12">
        <v>397</v>
      </c>
      <c r="H391" s="12">
        <v>645</v>
      </c>
      <c r="I391" s="12">
        <v>500</v>
      </c>
      <c r="J391" s="58">
        <v>145</v>
      </c>
      <c r="K391" s="67"/>
      <c r="L391" s="89"/>
      <c r="M391" s="63"/>
    </row>
    <row r="392" spans="1:13" hidden="1">
      <c r="A392" s="74"/>
      <c r="B392" s="88">
        <v>45959</v>
      </c>
      <c r="C392" s="58" t="s">
        <v>1188</v>
      </c>
      <c r="D392" s="12">
        <v>1108</v>
      </c>
      <c r="E392" s="58" t="s">
        <v>502</v>
      </c>
      <c r="F392" s="12">
        <v>0</v>
      </c>
      <c r="G392" s="12">
        <v>2</v>
      </c>
      <c r="H392" s="12">
        <v>5</v>
      </c>
      <c r="I392" s="12">
        <v>0</v>
      </c>
      <c r="J392" s="58">
        <v>5</v>
      </c>
      <c r="K392" s="67"/>
      <c r="L392" s="89"/>
      <c r="M392" s="63"/>
    </row>
    <row r="393" spans="1:13" hidden="1">
      <c r="A393" s="74"/>
      <c r="B393" s="88">
        <v>45959</v>
      </c>
      <c r="C393" s="58" t="s">
        <v>1188</v>
      </c>
      <c r="D393" s="12">
        <v>247</v>
      </c>
      <c r="E393" s="58" t="s">
        <v>272</v>
      </c>
      <c r="F393" s="12">
        <v>625</v>
      </c>
      <c r="G393" s="12">
        <v>410</v>
      </c>
      <c r="H393" s="12">
        <v>92</v>
      </c>
      <c r="I393" s="12">
        <v>0</v>
      </c>
      <c r="J393" s="58">
        <v>92</v>
      </c>
      <c r="K393" s="67"/>
      <c r="L393" s="89"/>
      <c r="M393" s="63"/>
    </row>
    <row r="394" spans="1:13" hidden="1">
      <c r="A394" s="74"/>
      <c r="B394" s="88">
        <v>45959</v>
      </c>
      <c r="C394" s="58" t="s">
        <v>1188</v>
      </c>
      <c r="D394" s="12">
        <v>225</v>
      </c>
      <c r="E394" s="58" t="s">
        <v>183</v>
      </c>
      <c r="F394" s="12">
        <v>0</v>
      </c>
      <c r="G394" s="12">
        <v>333</v>
      </c>
      <c r="H394" s="12">
        <v>583</v>
      </c>
      <c r="I394" s="12">
        <v>0</v>
      </c>
      <c r="J394" s="58">
        <v>583</v>
      </c>
      <c r="K394" s="67"/>
      <c r="L394" s="89"/>
      <c r="M394" s="63"/>
    </row>
    <row r="395" spans="1:13" hidden="1">
      <c r="A395" s="74"/>
      <c r="B395" s="88">
        <v>45959</v>
      </c>
      <c r="C395" s="58" t="s">
        <v>1188</v>
      </c>
      <c r="D395" s="12">
        <v>1317</v>
      </c>
      <c r="E395" s="58" t="s">
        <v>1135</v>
      </c>
      <c r="F395" s="12">
        <v>140</v>
      </c>
      <c r="G395" s="12">
        <v>1083</v>
      </c>
      <c r="H395" s="12">
        <v>1756</v>
      </c>
      <c r="I395" s="12">
        <v>1000</v>
      </c>
      <c r="J395" s="58">
        <v>756</v>
      </c>
      <c r="K395" s="67"/>
      <c r="L395" s="89"/>
      <c r="M395" s="63"/>
    </row>
    <row r="396" spans="1:13" hidden="1">
      <c r="A396" s="74"/>
      <c r="B396" s="88">
        <v>45957</v>
      </c>
      <c r="C396" s="58" t="s">
        <v>1183</v>
      </c>
      <c r="D396" s="12">
        <v>1384</v>
      </c>
      <c r="E396" s="58" t="s">
        <v>189</v>
      </c>
      <c r="F396" s="12">
        <v>1</v>
      </c>
      <c r="G396" s="12">
        <v>4</v>
      </c>
      <c r="H396" s="12">
        <v>2</v>
      </c>
      <c r="I396" s="12">
        <v>0</v>
      </c>
      <c r="J396" s="58">
        <v>2</v>
      </c>
      <c r="K396" s="67"/>
      <c r="L396" s="89"/>
      <c r="M396" s="63"/>
    </row>
    <row r="397" spans="1:13" hidden="1">
      <c r="A397" s="74"/>
      <c r="B397" s="88">
        <v>45957</v>
      </c>
      <c r="C397" s="58" t="s">
        <v>1183</v>
      </c>
      <c r="D397" s="12">
        <v>218</v>
      </c>
      <c r="E397" s="58" t="s">
        <v>95</v>
      </c>
      <c r="F397" s="12">
        <v>0</v>
      </c>
      <c r="G397" s="12">
        <v>1070</v>
      </c>
      <c r="H397" s="12">
        <v>200</v>
      </c>
      <c r="I397" s="12">
        <v>0</v>
      </c>
      <c r="J397" s="58">
        <v>200</v>
      </c>
      <c r="K397" s="67"/>
      <c r="L397" s="89"/>
      <c r="M397" s="63"/>
    </row>
    <row r="398" spans="1:13" hidden="1">
      <c r="A398" s="74"/>
      <c r="B398" s="88">
        <v>45957</v>
      </c>
      <c r="C398" s="58" t="s">
        <v>1182</v>
      </c>
      <c r="D398" s="12">
        <v>218</v>
      </c>
      <c r="E398" s="58" t="s">
        <v>95</v>
      </c>
      <c r="F398" s="12">
        <v>0</v>
      </c>
      <c r="G398" s="12">
        <v>1070</v>
      </c>
      <c r="H398" s="12">
        <v>200</v>
      </c>
      <c r="I398" s="12">
        <v>0</v>
      </c>
      <c r="J398" s="58">
        <v>200</v>
      </c>
      <c r="K398" s="67"/>
      <c r="L398" s="90"/>
      <c r="M398" s="63"/>
    </row>
    <row r="399" spans="1:13" hidden="1">
      <c r="A399" s="74"/>
      <c r="B399" s="88">
        <v>45954</v>
      </c>
      <c r="C399" s="58" t="s">
        <v>1182</v>
      </c>
      <c r="D399" s="73">
        <v>21792</v>
      </c>
      <c r="E399" s="58" t="s">
        <v>1011</v>
      </c>
      <c r="F399" s="73">
        <v>3</v>
      </c>
      <c r="G399" s="73">
        <v>1</v>
      </c>
      <c r="H399" s="73">
        <v>2</v>
      </c>
      <c r="I399" s="73">
        <v>1</v>
      </c>
      <c r="J399" s="58">
        <v>1</v>
      </c>
      <c r="K399" s="67"/>
      <c r="L399" s="91"/>
      <c r="M399" s="63"/>
    </row>
    <row r="400" spans="1:13" hidden="1">
      <c r="A400" s="74"/>
      <c r="B400" s="88">
        <v>45954</v>
      </c>
      <c r="C400" s="58" t="s">
        <v>1182</v>
      </c>
      <c r="D400" s="73">
        <v>1108</v>
      </c>
      <c r="E400" s="58" t="s">
        <v>502</v>
      </c>
      <c r="F400" s="73">
        <v>37</v>
      </c>
      <c r="G400" s="73">
        <v>19</v>
      </c>
      <c r="H400" s="73">
        <v>50</v>
      </c>
      <c r="I400" s="73">
        <v>0</v>
      </c>
      <c r="J400" s="58">
        <v>50</v>
      </c>
      <c r="K400" s="67"/>
      <c r="L400" s="91"/>
      <c r="M400" s="63"/>
    </row>
    <row r="401" spans="1:13" hidden="1">
      <c r="A401" s="74"/>
      <c r="B401" s="88">
        <v>45954</v>
      </c>
      <c r="C401" s="58" t="s">
        <v>1182</v>
      </c>
      <c r="D401" s="73">
        <v>1384</v>
      </c>
      <c r="E401" s="58" t="s">
        <v>189</v>
      </c>
      <c r="F401" s="73">
        <v>5</v>
      </c>
      <c r="G401" s="73">
        <v>1</v>
      </c>
      <c r="H401" s="73">
        <v>8</v>
      </c>
      <c r="I401" s="73">
        <v>2</v>
      </c>
      <c r="J401" s="58">
        <v>6</v>
      </c>
      <c r="K401" s="67"/>
      <c r="L401" s="91"/>
      <c r="M401" s="63"/>
    </row>
    <row r="402" spans="1:13" hidden="1">
      <c r="A402" s="74"/>
      <c r="B402" s="88">
        <v>45953</v>
      </c>
      <c r="C402" s="58" t="s">
        <v>1184</v>
      </c>
      <c r="D402" s="73">
        <v>1432</v>
      </c>
      <c r="E402" s="58" t="s">
        <v>708</v>
      </c>
      <c r="F402" s="73">
        <v>26</v>
      </c>
      <c r="G402" s="73">
        <v>64</v>
      </c>
      <c r="H402" s="73">
        <v>187</v>
      </c>
      <c r="I402" s="73">
        <v>23</v>
      </c>
      <c r="J402" s="58">
        <v>164</v>
      </c>
      <c r="K402" s="67"/>
      <c r="L402" s="91"/>
      <c r="M402" s="63"/>
    </row>
    <row r="403" spans="1:13" hidden="1">
      <c r="A403" s="74"/>
      <c r="B403" s="88">
        <v>45952</v>
      </c>
      <c r="C403" s="58" t="s">
        <v>1184</v>
      </c>
      <c r="D403" s="73">
        <v>247</v>
      </c>
      <c r="E403" s="58" t="s">
        <v>272</v>
      </c>
      <c r="F403" s="73">
        <v>7</v>
      </c>
      <c r="G403" s="73">
        <v>17</v>
      </c>
      <c r="H403" s="73">
        <v>22</v>
      </c>
      <c r="I403" s="73">
        <v>11</v>
      </c>
      <c r="J403" s="58">
        <v>11</v>
      </c>
      <c r="K403" s="67"/>
      <c r="L403" s="91"/>
      <c r="M403" s="63"/>
    </row>
    <row r="404" spans="1:13" hidden="1">
      <c r="A404" s="74"/>
      <c r="B404" s="88">
        <v>45952</v>
      </c>
      <c r="C404" s="58" t="s">
        <v>1184</v>
      </c>
      <c r="D404" s="73">
        <v>224</v>
      </c>
      <c r="E404" s="58" t="s">
        <v>1077</v>
      </c>
      <c r="F404" s="73">
        <v>2</v>
      </c>
      <c r="G404" s="73">
        <v>10</v>
      </c>
      <c r="H404" s="73">
        <v>15</v>
      </c>
      <c r="I404" s="73">
        <v>0</v>
      </c>
      <c r="J404" s="58">
        <v>15</v>
      </c>
      <c r="K404" s="65"/>
      <c r="L404" s="91"/>
      <c r="M404" s="63"/>
    </row>
    <row r="405" spans="1:13" hidden="1">
      <c r="A405" s="74"/>
      <c r="B405" s="88">
        <v>45952</v>
      </c>
      <c r="C405" s="58" t="s">
        <v>1184</v>
      </c>
      <c r="D405" s="73">
        <v>1317</v>
      </c>
      <c r="E405" s="58" t="s">
        <v>1135</v>
      </c>
      <c r="F405" s="73">
        <v>338</v>
      </c>
      <c r="G405" s="73">
        <v>733</v>
      </c>
      <c r="H405" s="73">
        <v>945</v>
      </c>
      <c r="I405" s="73">
        <v>500</v>
      </c>
      <c r="J405" s="58">
        <v>445</v>
      </c>
      <c r="K405" s="63"/>
      <c r="L405" s="91"/>
      <c r="M405" s="63"/>
    </row>
    <row r="406" spans="1:13" hidden="1">
      <c r="A406" s="74"/>
      <c r="B406" s="88">
        <v>45951</v>
      </c>
      <c r="C406" s="58" t="s">
        <v>1184</v>
      </c>
      <c r="D406" s="73">
        <v>915</v>
      </c>
      <c r="E406" s="58" t="s">
        <v>537</v>
      </c>
      <c r="F406" s="73">
        <v>285</v>
      </c>
      <c r="G406" s="73">
        <v>1160</v>
      </c>
      <c r="H406" s="73">
        <v>1745</v>
      </c>
      <c r="I406" s="73">
        <v>1110</v>
      </c>
      <c r="J406" s="58">
        <v>635</v>
      </c>
      <c r="K406" s="63"/>
      <c r="L406" s="91"/>
      <c r="M406" s="63"/>
    </row>
    <row r="407" spans="1:13" hidden="1">
      <c r="A407" s="74"/>
      <c r="B407" s="88">
        <v>45950</v>
      </c>
      <c r="C407" s="58" t="s">
        <v>1185</v>
      </c>
      <c r="D407" s="73">
        <v>23103</v>
      </c>
      <c r="E407" s="58" t="s">
        <v>303</v>
      </c>
      <c r="F407" s="73">
        <v>0</v>
      </c>
      <c r="G407" s="73">
        <v>0</v>
      </c>
      <c r="H407" s="73">
        <v>5</v>
      </c>
      <c r="I407" s="73">
        <v>0</v>
      </c>
      <c r="J407" s="58">
        <v>5</v>
      </c>
      <c r="K407" s="63"/>
      <c r="L407" s="91" t="s">
        <v>1279</v>
      </c>
      <c r="M407" s="63"/>
    </row>
    <row r="408" spans="1:13" hidden="1">
      <c r="A408" s="74"/>
      <c r="B408" s="88">
        <v>45950</v>
      </c>
      <c r="C408" s="58" t="s">
        <v>1185</v>
      </c>
      <c r="D408" s="73">
        <v>1056</v>
      </c>
      <c r="E408" s="58" t="s">
        <v>1092</v>
      </c>
      <c r="F408" s="73">
        <v>0</v>
      </c>
      <c r="G408" s="73">
        <v>1</v>
      </c>
      <c r="H408" s="73">
        <v>2</v>
      </c>
      <c r="I408" s="73">
        <v>0</v>
      </c>
      <c r="J408" s="58">
        <v>2</v>
      </c>
      <c r="K408" s="63"/>
      <c r="L408" s="91"/>
      <c r="M408" s="63"/>
    </row>
    <row r="409" spans="1:13" hidden="1">
      <c r="A409" s="74"/>
      <c r="B409" s="88">
        <v>45950</v>
      </c>
      <c r="C409" s="58" t="s">
        <v>1185</v>
      </c>
      <c r="D409" s="73">
        <v>1416</v>
      </c>
      <c r="E409" s="58" t="s">
        <v>993</v>
      </c>
      <c r="F409" s="73">
        <v>0</v>
      </c>
      <c r="G409" s="73">
        <v>0</v>
      </c>
      <c r="H409" s="73">
        <v>1</v>
      </c>
      <c r="I409" s="73">
        <v>0</v>
      </c>
      <c r="J409" s="58">
        <v>1</v>
      </c>
      <c r="K409" s="63"/>
      <c r="L409" s="91"/>
      <c r="M409" s="63"/>
    </row>
    <row r="410" spans="1:13" hidden="1">
      <c r="A410" s="74"/>
      <c r="B410" s="88">
        <v>45950</v>
      </c>
      <c r="C410" s="58" t="s">
        <v>1185</v>
      </c>
      <c r="D410" s="73">
        <v>1415</v>
      </c>
      <c r="E410" s="58" t="s">
        <v>992</v>
      </c>
      <c r="F410" s="73">
        <v>0</v>
      </c>
      <c r="G410" s="73">
        <v>0</v>
      </c>
      <c r="H410" s="73">
        <v>1</v>
      </c>
      <c r="I410" s="73">
        <v>0</v>
      </c>
      <c r="J410" s="58">
        <v>1</v>
      </c>
      <c r="K410" s="63"/>
      <c r="L410" s="91"/>
      <c r="M410" s="63"/>
    </row>
    <row r="411" spans="1:13" ht="30" hidden="1">
      <c r="A411" s="74"/>
      <c r="B411" s="88">
        <v>45950</v>
      </c>
      <c r="C411" s="58" t="s">
        <v>1185</v>
      </c>
      <c r="D411" s="73">
        <v>254</v>
      </c>
      <c r="E411" s="58" t="s">
        <v>499</v>
      </c>
      <c r="F411" s="73">
        <v>129</v>
      </c>
      <c r="G411" s="73">
        <v>810</v>
      </c>
      <c r="H411" s="73">
        <v>1249</v>
      </c>
      <c r="I411" s="73">
        <v>0</v>
      </c>
      <c r="J411" s="58">
        <v>1249</v>
      </c>
      <c r="K411" s="68" t="s">
        <v>1272</v>
      </c>
      <c r="L411" s="91"/>
      <c r="M411" s="63"/>
    </row>
    <row r="412" spans="1:13" hidden="1">
      <c r="A412" s="74"/>
      <c r="B412" s="88">
        <v>45945</v>
      </c>
      <c r="C412" s="58" t="s">
        <v>1198</v>
      </c>
      <c r="D412" s="73">
        <v>159</v>
      </c>
      <c r="E412" s="58" t="s">
        <v>51</v>
      </c>
      <c r="F412" s="73" t="s">
        <v>1265</v>
      </c>
      <c r="G412" s="73" t="s">
        <v>1265</v>
      </c>
      <c r="H412" s="73">
        <v>2</v>
      </c>
      <c r="I412" s="73">
        <v>0</v>
      </c>
      <c r="J412" s="58">
        <v>2</v>
      </c>
      <c r="K412" s="63"/>
      <c r="L412" s="91"/>
      <c r="M412" s="63"/>
    </row>
    <row r="413" spans="1:13" hidden="1">
      <c r="A413" s="74"/>
      <c r="B413" s="88">
        <v>45947</v>
      </c>
      <c r="C413" s="58" t="s">
        <v>1185</v>
      </c>
      <c r="D413" s="73">
        <v>224</v>
      </c>
      <c r="E413" s="58" t="s">
        <v>1077</v>
      </c>
      <c r="F413" s="73">
        <v>19</v>
      </c>
      <c r="G413" s="73">
        <v>14</v>
      </c>
      <c r="H413" s="73">
        <v>4</v>
      </c>
      <c r="I413" s="73">
        <v>0</v>
      </c>
      <c r="J413" s="58">
        <v>4</v>
      </c>
      <c r="K413" s="63"/>
      <c r="L413" s="91"/>
      <c r="M413" s="63"/>
    </row>
    <row r="414" spans="1:13" hidden="1">
      <c r="A414" s="74"/>
      <c r="B414" s="88">
        <v>45945</v>
      </c>
      <c r="C414" s="58" t="s">
        <v>1198</v>
      </c>
      <c r="D414" s="73">
        <v>23103</v>
      </c>
      <c r="E414" s="58" t="s">
        <v>303</v>
      </c>
      <c r="F414" s="73">
        <v>5</v>
      </c>
      <c r="G414" s="73">
        <v>7</v>
      </c>
      <c r="H414" s="73">
        <v>10</v>
      </c>
      <c r="I414" s="73">
        <v>0</v>
      </c>
      <c r="J414" s="58">
        <v>10</v>
      </c>
      <c r="K414" s="63"/>
      <c r="L414" s="91"/>
      <c r="M414" s="63"/>
    </row>
    <row r="415" spans="1:13" hidden="1">
      <c r="A415" s="74"/>
      <c r="B415" s="88">
        <v>45945</v>
      </c>
      <c r="C415" s="58" t="s">
        <v>1198</v>
      </c>
      <c r="D415" s="73">
        <v>1415</v>
      </c>
      <c r="E415" s="58" t="s">
        <v>992</v>
      </c>
      <c r="F415" s="73">
        <v>0</v>
      </c>
      <c r="G415" s="73">
        <v>0</v>
      </c>
      <c r="H415" s="73">
        <v>1</v>
      </c>
      <c r="I415" s="73">
        <v>0</v>
      </c>
      <c r="J415" s="58">
        <v>1</v>
      </c>
      <c r="K415" s="63"/>
      <c r="L415" s="91"/>
      <c r="M415" s="63"/>
    </row>
    <row r="416" spans="1:13" hidden="1">
      <c r="A416" s="74"/>
      <c r="B416" s="88">
        <v>45932</v>
      </c>
      <c r="C416" s="58" t="s">
        <v>1183</v>
      </c>
      <c r="D416" s="73">
        <v>254</v>
      </c>
      <c r="E416" s="58" t="s">
        <v>499</v>
      </c>
      <c r="F416" s="73">
        <v>0</v>
      </c>
      <c r="G416" s="73">
        <v>17</v>
      </c>
      <c r="H416" s="73">
        <v>50</v>
      </c>
      <c r="I416" s="73">
        <v>0</v>
      </c>
      <c r="J416" s="58">
        <v>50</v>
      </c>
      <c r="K416" s="63"/>
      <c r="L416" s="91"/>
      <c r="M416" s="63"/>
    </row>
    <row r="417" spans="1:13" hidden="1">
      <c r="A417" s="74"/>
      <c r="B417" s="88">
        <v>45932</v>
      </c>
      <c r="C417" s="58" t="s">
        <v>1182</v>
      </c>
      <c r="D417" s="73">
        <v>254</v>
      </c>
      <c r="E417" s="58" t="s">
        <v>499</v>
      </c>
      <c r="F417" s="73">
        <v>60</v>
      </c>
      <c r="G417" s="73">
        <v>30</v>
      </c>
      <c r="H417" s="73">
        <v>90</v>
      </c>
      <c r="I417" s="73">
        <v>0</v>
      </c>
      <c r="J417" s="58">
        <v>90</v>
      </c>
      <c r="K417" s="63"/>
      <c r="L417" s="91"/>
      <c r="M417" s="63"/>
    </row>
    <row r="418" spans="1:13" hidden="1">
      <c r="A418" s="74"/>
      <c r="B418" s="88">
        <v>45932</v>
      </c>
      <c r="C418" s="58" t="s">
        <v>1182</v>
      </c>
      <c r="D418" s="73">
        <v>1524</v>
      </c>
      <c r="E418" s="58" t="s">
        <v>42</v>
      </c>
      <c r="F418" s="73">
        <v>37</v>
      </c>
      <c r="G418" s="73">
        <v>103</v>
      </c>
      <c r="H418" s="73">
        <v>180</v>
      </c>
      <c r="I418" s="73">
        <v>50</v>
      </c>
      <c r="J418" s="58">
        <v>130</v>
      </c>
      <c r="K418" s="63"/>
      <c r="L418" s="91"/>
      <c r="M418" s="63"/>
    </row>
    <row r="419" spans="1:13" hidden="1">
      <c r="A419" s="74"/>
      <c r="B419" s="88">
        <v>45930</v>
      </c>
      <c r="C419" s="58" t="s">
        <v>1193</v>
      </c>
      <c r="D419" s="73">
        <v>1416</v>
      </c>
      <c r="E419" s="58" t="s">
        <v>993</v>
      </c>
      <c r="F419" s="73">
        <v>0</v>
      </c>
      <c r="G419" s="73">
        <v>1</v>
      </c>
      <c r="H419" s="73">
        <v>2</v>
      </c>
      <c r="I419" s="73">
        <v>0</v>
      </c>
      <c r="J419" s="58">
        <v>2</v>
      </c>
      <c r="K419" s="63"/>
      <c r="L419" s="91"/>
      <c r="M419" s="63"/>
    </row>
    <row r="420" spans="1:13" hidden="1">
      <c r="A420" s="74"/>
      <c r="B420" s="88">
        <v>45930</v>
      </c>
      <c r="C420" s="58" t="s">
        <v>1193</v>
      </c>
      <c r="D420" s="73">
        <v>1415</v>
      </c>
      <c r="E420" s="58" t="s">
        <v>992</v>
      </c>
      <c r="F420" s="73">
        <v>0</v>
      </c>
      <c r="G420" s="73">
        <v>3</v>
      </c>
      <c r="H420" s="73">
        <v>6</v>
      </c>
      <c r="I420" s="73">
        <v>0</v>
      </c>
      <c r="J420" s="58">
        <v>6</v>
      </c>
      <c r="K420" s="63"/>
      <c r="L420" s="91"/>
      <c r="M420" s="63"/>
    </row>
    <row r="421" spans="1:13" hidden="1">
      <c r="A421" s="74"/>
      <c r="B421" s="88">
        <v>45930</v>
      </c>
      <c r="C421" s="58" t="s">
        <v>1193</v>
      </c>
      <c r="D421" s="73">
        <v>254</v>
      </c>
      <c r="E421" s="58" t="s">
        <v>499</v>
      </c>
      <c r="F421" s="73">
        <v>100</v>
      </c>
      <c r="G421" s="73">
        <v>233</v>
      </c>
      <c r="H421" s="73">
        <v>308</v>
      </c>
      <c r="I421" s="73">
        <v>150</v>
      </c>
      <c r="J421" s="58">
        <v>158</v>
      </c>
      <c r="K421" s="63"/>
      <c r="L421" s="91"/>
      <c r="M421" s="63"/>
    </row>
    <row r="422" spans="1:13" hidden="1">
      <c r="A422" s="74"/>
      <c r="B422" s="88">
        <v>45930</v>
      </c>
      <c r="C422" s="58" t="s">
        <v>1195</v>
      </c>
      <c r="D422" s="73">
        <v>346</v>
      </c>
      <c r="E422" s="58" t="s">
        <v>512</v>
      </c>
      <c r="F422" s="73">
        <v>10</v>
      </c>
      <c r="G422" s="73">
        <v>20</v>
      </c>
      <c r="H422" s="73">
        <v>20</v>
      </c>
      <c r="I422" s="73">
        <v>0</v>
      </c>
      <c r="J422" s="58">
        <v>20</v>
      </c>
      <c r="K422" s="63"/>
      <c r="L422" s="91"/>
      <c r="M422" s="63"/>
    </row>
    <row r="423" spans="1:13" hidden="1">
      <c r="A423" s="74"/>
      <c r="B423" s="88">
        <v>45930</v>
      </c>
      <c r="C423" s="58" t="s">
        <v>1195</v>
      </c>
      <c r="D423" s="73">
        <v>1037</v>
      </c>
      <c r="E423" s="58" t="s">
        <v>738</v>
      </c>
      <c r="F423" s="73">
        <v>0</v>
      </c>
      <c r="G423" s="73">
        <v>0</v>
      </c>
      <c r="H423" s="73">
        <v>10</v>
      </c>
      <c r="I423" s="73">
        <v>0</v>
      </c>
      <c r="J423" s="58">
        <v>10</v>
      </c>
      <c r="K423" s="63"/>
      <c r="L423" s="91"/>
      <c r="M423" s="63"/>
    </row>
    <row r="424" spans="1:13" hidden="1">
      <c r="A424" s="74"/>
      <c r="B424" s="88">
        <v>45930</v>
      </c>
      <c r="C424" s="58" t="s">
        <v>1195</v>
      </c>
      <c r="D424" s="73">
        <v>1415</v>
      </c>
      <c r="E424" s="58" t="s">
        <v>992</v>
      </c>
      <c r="F424" s="73">
        <v>0</v>
      </c>
      <c r="G424" s="73">
        <v>0</v>
      </c>
      <c r="H424" s="73">
        <v>1</v>
      </c>
      <c r="I424" s="73">
        <v>0</v>
      </c>
      <c r="J424" s="58">
        <v>1</v>
      </c>
      <c r="K424" s="63"/>
      <c r="L424" s="91"/>
      <c r="M424" s="63"/>
    </row>
    <row r="425" spans="1:13" hidden="1">
      <c r="A425" s="74"/>
      <c r="B425" s="88">
        <v>45930</v>
      </c>
      <c r="C425" s="58" t="s">
        <v>1194</v>
      </c>
      <c r="D425" s="73">
        <v>1416</v>
      </c>
      <c r="E425" s="58" t="s">
        <v>993</v>
      </c>
      <c r="F425" s="73">
        <v>0</v>
      </c>
      <c r="G425" s="73">
        <v>0</v>
      </c>
      <c r="H425" s="73">
        <v>2</v>
      </c>
      <c r="I425" s="73">
        <v>0</v>
      </c>
      <c r="J425" s="58">
        <v>2</v>
      </c>
      <c r="K425" s="63"/>
      <c r="L425" s="91"/>
      <c r="M425" s="63"/>
    </row>
    <row r="426" spans="1:13" hidden="1">
      <c r="A426" s="74"/>
      <c r="B426" s="88">
        <v>45930</v>
      </c>
      <c r="C426" s="58" t="s">
        <v>1194</v>
      </c>
      <c r="D426" s="73">
        <v>254</v>
      </c>
      <c r="E426" s="58" t="s">
        <v>499</v>
      </c>
      <c r="F426" s="73">
        <v>0</v>
      </c>
      <c r="G426" s="73">
        <v>0</v>
      </c>
      <c r="H426" s="73">
        <v>300</v>
      </c>
      <c r="I426" s="73">
        <v>150</v>
      </c>
      <c r="J426" s="58">
        <v>150</v>
      </c>
      <c r="K426" s="63"/>
      <c r="L426" s="91"/>
      <c r="M426" s="63"/>
    </row>
    <row r="427" spans="1:13" hidden="1">
      <c r="A427" s="74"/>
      <c r="B427" s="88">
        <v>45930</v>
      </c>
      <c r="C427" s="58" t="s">
        <v>1194</v>
      </c>
      <c r="D427" s="73">
        <v>218</v>
      </c>
      <c r="E427" s="58" t="s">
        <v>95</v>
      </c>
      <c r="F427" s="73">
        <v>0</v>
      </c>
      <c r="G427" s="73">
        <v>0</v>
      </c>
      <c r="H427" s="73">
        <v>200</v>
      </c>
      <c r="I427" s="73">
        <v>178</v>
      </c>
      <c r="J427" s="58">
        <v>22</v>
      </c>
      <c r="K427" s="63"/>
      <c r="L427" s="91"/>
      <c r="M427" s="63"/>
    </row>
    <row r="428" spans="1:13" hidden="1">
      <c r="A428" s="74"/>
      <c r="B428" s="88">
        <v>45929</v>
      </c>
      <c r="C428" s="58" t="s">
        <v>1191</v>
      </c>
      <c r="D428" s="73">
        <v>1416</v>
      </c>
      <c r="E428" s="58" t="s">
        <v>993</v>
      </c>
      <c r="F428" s="73">
        <v>0</v>
      </c>
      <c r="G428" s="73">
        <v>1</v>
      </c>
      <c r="H428" s="73">
        <v>2</v>
      </c>
      <c r="I428" s="73">
        <v>0</v>
      </c>
      <c r="J428" s="58">
        <v>2</v>
      </c>
      <c r="K428" s="63"/>
      <c r="L428" s="91"/>
      <c r="M428" s="63"/>
    </row>
    <row r="429" spans="1:13" hidden="1">
      <c r="A429" s="74"/>
      <c r="B429" s="88">
        <v>45929</v>
      </c>
      <c r="C429" s="58" t="s">
        <v>1191</v>
      </c>
      <c r="D429" s="73">
        <v>1415</v>
      </c>
      <c r="E429" s="58" t="s">
        <v>992</v>
      </c>
      <c r="F429" s="73">
        <v>0</v>
      </c>
      <c r="G429" s="73">
        <v>1</v>
      </c>
      <c r="H429" s="73">
        <v>2</v>
      </c>
      <c r="I429" s="73">
        <v>1</v>
      </c>
      <c r="J429" s="58">
        <v>1</v>
      </c>
      <c r="K429" s="63"/>
      <c r="L429" s="91"/>
      <c r="M429" s="63"/>
    </row>
    <row r="430" spans="1:13" hidden="1">
      <c r="A430" s="74"/>
      <c r="B430" s="88">
        <v>45929</v>
      </c>
      <c r="C430" s="58" t="s">
        <v>1191</v>
      </c>
      <c r="D430" s="73">
        <v>254</v>
      </c>
      <c r="E430" s="58" t="s">
        <v>499</v>
      </c>
      <c r="F430" s="73">
        <v>0</v>
      </c>
      <c r="G430" s="73">
        <v>667</v>
      </c>
      <c r="H430" s="73">
        <v>800</v>
      </c>
      <c r="I430" s="73">
        <v>600</v>
      </c>
      <c r="J430" s="58">
        <v>200</v>
      </c>
      <c r="K430" s="63"/>
      <c r="L430" s="91"/>
      <c r="M430" s="63"/>
    </row>
    <row r="431" spans="1:13" hidden="1">
      <c r="A431" s="74"/>
      <c r="B431" s="88">
        <v>45910</v>
      </c>
      <c r="C431" s="58" t="s">
        <v>1198</v>
      </c>
      <c r="D431" s="73">
        <v>266</v>
      </c>
      <c r="E431" s="58" t="s">
        <v>661</v>
      </c>
      <c r="F431" s="73">
        <v>3</v>
      </c>
      <c r="G431" s="73">
        <v>6</v>
      </c>
      <c r="H431" s="73">
        <v>10</v>
      </c>
      <c r="I431" s="73">
        <v>0</v>
      </c>
      <c r="J431" s="58">
        <v>10</v>
      </c>
      <c r="K431" s="63"/>
      <c r="L431" s="91"/>
      <c r="M431" s="63"/>
    </row>
    <row r="432" spans="1:13" hidden="1">
      <c r="A432" s="74"/>
      <c r="B432" s="88">
        <v>45910</v>
      </c>
      <c r="C432" s="58" t="s">
        <v>1198</v>
      </c>
      <c r="D432" s="73">
        <v>254</v>
      </c>
      <c r="E432" s="58" t="s">
        <v>499</v>
      </c>
      <c r="F432" s="73">
        <v>50</v>
      </c>
      <c r="G432" s="73">
        <v>801</v>
      </c>
      <c r="H432" s="73">
        <v>1200</v>
      </c>
      <c r="I432" s="73">
        <v>0</v>
      </c>
      <c r="J432" s="58">
        <v>1200</v>
      </c>
      <c r="K432" s="63"/>
      <c r="L432" s="91"/>
      <c r="M432" s="63"/>
    </row>
    <row r="433" spans="1:13" hidden="1">
      <c r="A433" s="74"/>
      <c r="B433" s="88">
        <v>45910</v>
      </c>
      <c r="C433" s="58" t="s">
        <v>1198</v>
      </c>
      <c r="D433" s="73">
        <v>1061</v>
      </c>
      <c r="E433" s="58" t="s">
        <v>269</v>
      </c>
      <c r="F433" s="73">
        <v>3</v>
      </c>
      <c r="G433" s="73">
        <v>4</v>
      </c>
      <c r="H433" s="73">
        <v>12</v>
      </c>
      <c r="I433" s="73">
        <v>4</v>
      </c>
      <c r="J433" s="58">
        <v>8</v>
      </c>
      <c r="K433" s="63"/>
      <c r="L433" s="91"/>
      <c r="M433" s="63"/>
    </row>
    <row r="434" spans="1:13" hidden="1">
      <c r="A434" s="74"/>
      <c r="B434" s="88"/>
      <c r="C434" s="58"/>
      <c r="D434" s="73"/>
      <c r="E434" s="58"/>
      <c r="F434" s="73"/>
      <c r="G434" s="73"/>
      <c r="H434" s="73"/>
      <c r="I434" s="73"/>
      <c r="J434" s="58"/>
      <c r="K434" s="63"/>
      <c r="L434" s="91"/>
      <c r="M434" s="63"/>
    </row>
    <row r="435" spans="1:13" hidden="1">
      <c r="A435" s="74"/>
      <c r="B435" s="88"/>
      <c r="C435" s="58"/>
      <c r="D435" s="73"/>
      <c r="E435" s="58"/>
      <c r="F435" s="73"/>
      <c r="G435" s="73"/>
      <c r="H435" s="73"/>
      <c r="I435" s="73"/>
      <c r="J435" s="58"/>
      <c r="K435" s="63"/>
      <c r="L435" s="91"/>
      <c r="M435" s="63"/>
    </row>
    <row r="436" spans="1:13" hidden="1">
      <c r="A436" s="74"/>
      <c r="B436" s="88"/>
      <c r="C436" s="58"/>
      <c r="D436" s="73"/>
      <c r="E436" s="58"/>
      <c r="F436" s="73"/>
      <c r="G436" s="73"/>
      <c r="H436" s="73"/>
      <c r="I436" s="73"/>
      <c r="J436" s="58"/>
      <c r="K436" s="63"/>
      <c r="L436" s="91"/>
      <c r="M436" s="63"/>
    </row>
    <row r="437" spans="1:13" hidden="1">
      <c r="A437" s="74"/>
      <c r="B437" s="88"/>
      <c r="C437" s="58"/>
      <c r="D437" s="73"/>
      <c r="E437" s="58"/>
      <c r="F437" s="73"/>
      <c r="G437" s="73"/>
      <c r="H437" s="73"/>
      <c r="I437" s="73"/>
      <c r="J437" s="58"/>
      <c r="K437" s="63"/>
      <c r="L437" s="91"/>
      <c r="M437" s="63"/>
    </row>
    <row r="438" spans="1:13" hidden="1">
      <c r="A438" s="74"/>
      <c r="B438" s="88">
        <v>45910</v>
      </c>
      <c r="C438" s="58" t="s">
        <v>1185</v>
      </c>
      <c r="D438" s="73">
        <v>22898</v>
      </c>
      <c r="E438" s="58" t="s">
        <v>1087</v>
      </c>
      <c r="F438" s="73">
        <v>0</v>
      </c>
      <c r="G438" s="73">
        <v>1</v>
      </c>
      <c r="H438" s="73">
        <v>2</v>
      </c>
      <c r="I438" s="73">
        <v>0</v>
      </c>
      <c r="J438" s="58">
        <v>2</v>
      </c>
      <c r="K438" s="63"/>
      <c r="L438" s="91"/>
      <c r="M438" s="63"/>
    </row>
    <row r="439" spans="1:13" hidden="1">
      <c r="A439" s="74"/>
      <c r="B439" s="88"/>
      <c r="C439" s="58"/>
      <c r="D439" s="73"/>
      <c r="E439" s="58"/>
      <c r="F439" s="73"/>
      <c r="G439" s="73"/>
      <c r="H439" s="73"/>
      <c r="I439" s="73"/>
      <c r="J439" s="58"/>
      <c r="K439" s="63"/>
      <c r="L439" s="91"/>
      <c r="M439" s="63"/>
    </row>
    <row r="440" spans="1:13" hidden="1">
      <c r="A440" s="74"/>
      <c r="B440" s="88">
        <v>45904</v>
      </c>
      <c r="C440" s="58" t="s">
        <v>1195</v>
      </c>
      <c r="D440" s="73">
        <v>266</v>
      </c>
      <c r="E440" s="58" t="s">
        <v>661</v>
      </c>
      <c r="F440" s="73">
        <v>1000</v>
      </c>
      <c r="G440" s="73">
        <v>4000</v>
      </c>
      <c r="H440" s="73">
        <v>2000</v>
      </c>
      <c r="I440" s="73">
        <v>0</v>
      </c>
      <c r="J440" s="58">
        <v>2000</v>
      </c>
      <c r="K440" s="63"/>
      <c r="L440" s="91"/>
      <c r="M440" s="63"/>
    </row>
    <row r="441" spans="1:13" hidden="1">
      <c r="A441" s="74"/>
      <c r="B441" s="88">
        <v>45904</v>
      </c>
      <c r="C441" s="58" t="s">
        <v>1184</v>
      </c>
      <c r="D441" s="73">
        <v>332</v>
      </c>
      <c r="E441" s="58" t="s">
        <v>1119</v>
      </c>
      <c r="F441" s="73">
        <v>0</v>
      </c>
      <c r="G441" s="73">
        <v>0</v>
      </c>
      <c r="H441" s="73">
        <v>2</v>
      </c>
      <c r="I441" s="73">
        <v>0</v>
      </c>
      <c r="J441" s="58">
        <v>2</v>
      </c>
      <c r="K441" s="63"/>
      <c r="L441" s="91"/>
      <c r="M441" s="63"/>
    </row>
    <row r="442" spans="1:13" hidden="1">
      <c r="A442" s="74"/>
      <c r="B442" s="88">
        <v>45904</v>
      </c>
      <c r="C442" s="58" t="s">
        <v>1184</v>
      </c>
      <c r="D442" s="73">
        <v>21373</v>
      </c>
      <c r="E442" s="58" t="s">
        <v>204</v>
      </c>
      <c r="F442" s="73">
        <v>0</v>
      </c>
      <c r="G442" s="73">
        <v>0</v>
      </c>
      <c r="H442" s="73">
        <v>1</v>
      </c>
      <c r="I442" s="73">
        <v>0</v>
      </c>
      <c r="J442" s="58">
        <v>1</v>
      </c>
      <c r="K442" s="63"/>
      <c r="L442" s="91"/>
      <c r="M442" s="63"/>
    </row>
    <row r="443" spans="1:13" hidden="1">
      <c r="A443" s="74"/>
      <c r="B443" s="88">
        <v>45904</v>
      </c>
      <c r="C443" s="58" t="s">
        <v>1184</v>
      </c>
      <c r="D443" s="73">
        <v>21371</v>
      </c>
      <c r="E443" s="58" t="s">
        <v>203</v>
      </c>
      <c r="F443" s="73">
        <v>0</v>
      </c>
      <c r="G443" s="73">
        <v>0</v>
      </c>
      <c r="H443" s="73">
        <v>1</v>
      </c>
      <c r="I443" s="73">
        <v>0</v>
      </c>
      <c r="J443" s="58">
        <v>1</v>
      </c>
      <c r="K443" s="63"/>
      <c r="L443" s="91"/>
      <c r="M443" s="63"/>
    </row>
    <row r="444" spans="1:13" hidden="1">
      <c r="A444" s="74"/>
      <c r="B444" s="88">
        <v>45904</v>
      </c>
      <c r="C444" s="58" t="s">
        <v>1183</v>
      </c>
      <c r="D444" s="73">
        <v>332</v>
      </c>
      <c r="E444" s="58" t="s">
        <v>1119</v>
      </c>
      <c r="F444" s="73">
        <v>2</v>
      </c>
      <c r="G444" s="73">
        <v>0</v>
      </c>
      <c r="H444" s="73">
        <v>2</v>
      </c>
      <c r="I444" s="73">
        <v>0</v>
      </c>
      <c r="J444" s="58">
        <v>2</v>
      </c>
      <c r="K444" s="63"/>
      <c r="L444" s="91"/>
      <c r="M444" s="63"/>
    </row>
    <row r="445" spans="1:13" hidden="1">
      <c r="A445" s="74"/>
      <c r="B445" s="88">
        <v>45905</v>
      </c>
      <c r="C445" s="58" t="s">
        <v>1184</v>
      </c>
      <c r="D445" s="73">
        <v>22201</v>
      </c>
      <c r="E445" s="58" t="s">
        <v>1072</v>
      </c>
      <c r="F445" s="73">
        <v>0</v>
      </c>
      <c r="G445" s="73"/>
      <c r="H445" s="73">
        <v>3</v>
      </c>
      <c r="I445" s="73">
        <v>0</v>
      </c>
      <c r="J445" s="58">
        <v>3</v>
      </c>
      <c r="K445" s="63"/>
      <c r="L445" s="91"/>
      <c r="M445" s="63"/>
    </row>
    <row r="446" spans="1:13" hidden="1">
      <c r="A446" s="74"/>
      <c r="B446" s="88">
        <v>45898</v>
      </c>
      <c r="C446" s="58" t="s">
        <v>1191</v>
      </c>
      <c r="D446" s="73">
        <v>1048</v>
      </c>
      <c r="E446" s="58" t="s">
        <v>785</v>
      </c>
      <c r="F446" s="73">
        <v>0</v>
      </c>
      <c r="G446" s="73">
        <v>4</v>
      </c>
      <c r="H446" s="73">
        <v>6</v>
      </c>
      <c r="I446" s="73">
        <v>4</v>
      </c>
      <c r="J446" s="58">
        <v>2</v>
      </c>
      <c r="K446" s="63"/>
      <c r="L446" s="91"/>
      <c r="M446" s="63"/>
    </row>
    <row r="447" spans="1:13" hidden="1">
      <c r="A447" s="74"/>
      <c r="B447" s="88">
        <v>45898</v>
      </c>
      <c r="C447" s="58" t="s">
        <v>1191</v>
      </c>
      <c r="D447" s="73">
        <v>1108</v>
      </c>
      <c r="E447" s="58" t="s">
        <v>502</v>
      </c>
      <c r="F447" s="73">
        <v>15</v>
      </c>
      <c r="G447" s="73">
        <v>38</v>
      </c>
      <c r="H447" s="73">
        <v>75</v>
      </c>
      <c r="I447" s="73">
        <v>0</v>
      </c>
      <c r="J447" s="58">
        <v>75</v>
      </c>
      <c r="K447" s="63"/>
      <c r="L447" s="91"/>
      <c r="M447" s="63"/>
    </row>
    <row r="448" spans="1:13" hidden="1">
      <c r="A448" s="74"/>
      <c r="B448" s="88">
        <v>45898</v>
      </c>
      <c r="C448" s="58" t="s">
        <v>1191</v>
      </c>
      <c r="D448" s="73">
        <v>1416</v>
      </c>
      <c r="E448" s="58" t="s">
        <v>993</v>
      </c>
      <c r="F448" s="73">
        <v>0</v>
      </c>
      <c r="G448" s="73">
        <v>1</v>
      </c>
      <c r="H448" s="73">
        <v>1</v>
      </c>
      <c r="I448" s="73">
        <v>0</v>
      </c>
      <c r="J448" s="58">
        <v>1</v>
      </c>
      <c r="K448" s="63"/>
      <c r="L448" s="91"/>
      <c r="M448" s="63"/>
    </row>
    <row r="449" spans="1:13" hidden="1">
      <c r="A449" s="74"/>
      <c r="B449" s="88">
        <v>45898</v>
      </c>
      <c r="C449" s="58" t="s">
        <v>1191</v>
      </c>
      <c r="D449" s="73">
        <v>266</v>
      </c>
      <c r="E449" s="58" t="s">
        <v>661</v>
      </c>
      <c r="F449" s="73">
        <v>95</v>
      </c>
      <c r="G449" s="73">
        <v>1200</v>
      </c>
      <c r="H449" s="73">
        <v>2000</v>
      </c>
      <c r="I449" s="73">
        <v>0</v>
      </c>
      <c r="J449" s="58">
        <v>2000</v>
      </c>
      <c r="K449" s="63"/>
      <c r="L449" s="91"/>
      <c r="M449" s="63"/>
    </row>
    <row r="450" spans="1:13" hidden="1">
      <c r="A450" s="74"/>
      <c r="B450" s="88">
        <v>45898</v>
      </c>
      <c r="C450" s="58" t="s">
        <v>1191</v>
      </c>
      <c r="D450" s="73">
        <v>248</v>
      </c>
      <c r="E450" s="58" t="s">
        <v>273</v>
      </c>
      <c r="F450" s="73">
        <v>10</v>
      </c>
      <c r="G450" s="73">
        <v>29</v>
      </c>
      <c r="H450" s="73">
        <v>33</v>
      </c>
      <c r="I450" s="73">
        <v>10</v>
      </c>
      <c r="J450" s="58">
        <v>23</v>
      </c>
      <c r="K450" s="63"/>
      <c r="L450" s="91"/>
      <c r="M450" s="63"/>
    </row>
    <row r="451" spans="1:13" hidden="1">
      <c r="A451" s="74"/>
      <c r="B451" s="88">
        <v>45898</v>
      </c>
      <c r="C451" s="58" t="s">
        <v>1191</v>
      </c>
      <c r="D451" s="73">
        <v>1061</v>
      </c>
      <c r="E451" s="58" t="s">
        <v>269</v>
      </c>
      <c r="F451" s="73">
        <v>2</v>
      </c>
      <c r="G451" s="73">
        <v>13</v>
      </c>
      <c r="H451" s="73">
        <v>24</v>
      </c>
      <c r="I451" s="73">
        <v>0</v>
      </c>
      <c r="J451" s="58">
        <v>24</v>
      </c>
      <c r="K451" s="63"/>
      <c r="L451" s="91"/>
      <c r="M451" s="63"/>
    </row>
    <row r="452" spans="1:13" hidden="1">
      <c r="A452" s="74"/>
      <c r="B452" s="88">
        <v>45902</v>
      </c>
      <c r="C452" s="58" t="s">
        <v>1193</v>
      </c>
      <c r="D452" s="73">
        <v>1416</v>
      </c>
      <c r="E452" s="58" t="s">
        <v>993</v>
      </c>
      <c r="F452" s="73">
        <v>0</v>
      </c>
      <c r="G452" s="73">
        <v>1</v>
      </c>
      <c r="H452" s="73">
        <v>3</v>
      </c>
      <c r="I452" s="73">
        <v>0</v>
      </c>
      <c r="J452" s="58">
        <v>3</v>
      </c>
      <c r="K452" s="63"/>
      <c r="L452" s="91"/>
      <c r="M452" s="63"/>
    </row>
    <row r="453" spans="1:13" hidden="1">
      <c r="A453" s="74"/>
      <c r="B453" s="88">
        <v>45902</v>
      </c>
      <c r="C453" s="58" t="s">
        <v>1194</v>
      </c>
      <c r="D453" s="73">
        <v>1416</v>
      </c>
      <c r="E453" s="58" t="s">
        <v>993</v>
      </c>
      <c r="F453" s="73">
        <v>0</v>
      </c>
      <c r="G453" s="73">
        <v>0</v>
      </c>
      <c r="H453" s="73">
        <v>2</v>
      </c>
      <c r="I453" s="73">
        <v>0</v>
      </c>
      <c r="J453" s="58">
        <v>2</v>
      </c>
      <c r="K453" s="63"/>
      <c r="L453" s="91"/>
      <c r="M453" s="63"/>
    </row>
    <row r="454" spans="1:13" hidden="1">
      <c r="A454" s="74"/>
      <c r="B454" s="88">
        <v>45901</v>
      </c>
      <c r="C454" s="58" t="s">
        <v>1194</v>
      </c>
      <c r="D454" s="73">
        <v>23748</v>
      </c>
      <c r="E454" s="58" t="s">
        <v>959</v>
      </c>
      <c r="F454" s="73">
        <v>0</v>
      </c>
      <c r="G454" s="73">
        <v>2</v>
      </c>
      <c r="H454" s="73">
        <v>2</v>
      </c>
      <c r="I454" s="73">
        <v>0</v>
      </c>
      <c r="J454" s="58">
        <v>2</v>
      </c>
      <c r="K454" s="63"/>
      <c r="L454" s="91"/>
      <c r="M454" s="63"/>
    </row>
    <row r="455" spans="1:13" hidden="1">
      <c r="A455" s="74"/>
      <c r="B455" s="88"/>
      <c r="C455" s="58"/>
      <c r="D455" s="73"/>
      <c r="E455" s="58"/>
      <c r="F455" s="73"/>
      <c r="G455" s="73"/>
      <c r="H455" s="73"/>
      <c r="I455" s="73"/>
      <c r="J455" s="58"/>
      <c r="K455" s="63"/>
      <c r="L455" s="91"/>
      <c r="M455" s="63"/>
    </row>
    <row r="456" spans="1:13" hidden="1">
      <c r="A456" s="74"/>
      <c r="B456" s="88"/>
      <c r="C456" s="58"/>
      <c r="D456" s="73"/>
      <c r="E456" s="58"/>
      <c r="F456" s="73"/>
      <c r="G456" s="73"/>
      <c r="H456" s="73"/>
      <c r="I456" s="73"/>
      <c r="J456" s="58"/>
      <c r="K456" s="63"/>
      <c r="L456" s="91"/>
      <c r="M456" s="63"/>
    </row>
    <row r="457" spans="1:13" hidden="1">
      <c r="A457" s="74"/>
      <c r="B457" s="88"/>
      <c r="C457" s="58"/>
      <c r="D457" s="73"/>
      <c r="E457" s="58"/>
      <c r="F457" s="73"/>
      <c r="G457" s="73"/>
      <c r="H457" s="73"/>
      <c r="I457" s="73"/>
      <c r="J457" s="58"/>
      <c r="K457" s="63"/>
      <c r="L457" s="91"/>
      <c r="M457" s="63"/>
    </row>
    <row r="458" spans="1:13" hidden="1">
      <c r="A458" s="74"/>
      <c r="B458" s="88"/>
      <c r="C458" s="58"/>
      <c r="D458" s="73"/>
      <c r="E458" s="58"/>
      <c r="F458" s="73"/>
      <c r="G458" s="73"/>
      <c r="H458" s="73"/>
      <c r="I458" s="73"/>
      <c r="J458" s="58"/>
      <c r="K458" s="63"/>
      <c r="L458" s="91"/>
      <c r="M458" s="63"/>
    </row>
    <row r="459" spans="1:13" hidden="1">
      <c r="A459" s="74"/>
      <c r="B459" s="88"/>
      <c r="C459" s="58"/>
      <c r="D459" s="73"/>
      <c r="E459" s="58"/>
      <c r="F459" s="73"/>
      <c r="G459" s="73"/>
      <c r="H459" s="73"/>
      <c r="I459" s="73"/>
      <c r="J459" s="58"/>
      <c r="K459" s="63"/>
      <c r="L459" s="91"/>
      <c r="M459" s="63"/>
    </row>
    <row r="460" spans="1:13" hidden="1">
      <c r="A460" s="74"/>
      <c r="B460" s="88"/>
      <c r="C460" s="58"/>
      <c r="D460" s="73"/>
      <c r="E460" s="58"/>
      <c r="F460" s="73"/>
      <c r="G460" s="73"/>
      <c r="H460" s="73"/>
      <c r="I460" s="73"/>
      <c r="J460" s="58"/>
      <c r="K460" s="63"/>
      <c r="L460" s="91"/>
      <c r="M460" s="63"/>
    </row>
    <row r="461" spans="1:13" hidden="1">
      <c r="A461" s="74"/>
      <c r="B461" s="88"/>
      <c r="C461" s="58"/>
      <c r="D461" s="73"/>
      <c r="E461" s="58"/>
      <c r="F461" s="73"/>
      <c r="G461" s="73"/>
      <c r="H461" s="73"/>
      <c r="I461" s="73"/>
      <c r="J461" s="58"/>
      <c r="K461" s="63"/>
      <c r="L461" s="91"/>
      <c r="M461" s="63"/>
    </row>
    <row r="462" spans="1:13" hidden="1">
      <c r="A462" s="74"/>
      <c r="B462" s="88"/>
      <c r="C462" s="58"/>
      <c r="D462" s="73"/>
      <c r="E462" s="58"/>
      <c r="F462" s="73"/>
      <c r="G462" s="73"/>
      <c r="H462" s="73"/>
      <c r="I462" s="73"/>
      <c r="J462" s="58"/>
      <c r="K462" s="63"/>
      <c r="L462" s="91"/>
      <c r="M462" s="63"/>
    </row>
    <row r="463" spans="1:13" hidden="1">
      <c r="A463" s="74"/>
      <c r="B463" s="88"/>
      <c r="C463" s="58"/>
      <c r="D463" s="73"/>
      <c r="E463" s="58"/>
      <c r="F463" s="73"/>
      <c r="G463" s="73"/>
      <c r="H463" s="73"/>
      <c r="I463" s="73"/>
      <c r="J463" s="58"/>
      <c r="K463" s="63"/>
      <c r="L463" s="91"/>
      <c r="M463" s="63"/>
    </row>
    <row r="464" spans="1:13" hidden="1">
      <c r="A464" s="74"/>
      <c r="B464" s="88"/>
      <c r="C464" s="58"/>
      <c r="D464" s="73"/>
      <c r="E464" s="58"/>
      <c r="F464" s="73"/>
      <c r="G464" s="73"/>
      <c r="H464" s="73"/>
      <c r="I464" s="73"/>
      <c r="J464" s="58"/>
      <c r="K464" s="66"/>
      <c r="L464" s="91"/>
      <c r="M464" s="63"/>
    </row>
    <row r="465" spans="1:13" hidden="1">
      <c r="A465" s="74"/>
      <c r="B465" s="92">
        <v>45954</v>
      </c>
      <c r="C465" s="69"/>
      <c r="D465" s="66">
        <v>960</v>
      </c>
      <c r="E465" s="69" t="s">
        <v>810</v>
      </c>
      <c r="F465" s="66"/>
      <c r="G465" s="66"/>
      <c r="H465" s="66" t="s">
        <v>1278</v>
      </c>
      <c r="I465" s="66"/>
      <c r="J465" s="70"/>
      <c r="K465" s="66"/>
      <c r="L465" s="93"/>
      <c r="M465" s="63"/>
    </row>
    <row r="466" spans="1:13" hidden="1">
      <c r="A466" s="74"/>
      <c r="B466" s="94"/>
      <c r="C466" s="69"/>
      <c r="D466" s="66"/>
      <c r="E466" s="69"/>
      <c r="F466" s="66"/>
      <c r="G466" s="66"/>
      <c r="H466" s="66"/>
      <c r="I466" s="66"/>
      <c r="J466" s="70" t="s">
        <v>1313</v>
      </c>
      <c r="K466" s="66"/>
      <c r="L466" s="66"/>
      <c r="M466" s="66"/>
    </row>
    <row r="467" spans="1:13" ht="16.5" customHeight="1">
      <c r="B467" s="78"/>
      <c r="C467" s="67"/>
      <c r="D467" s="71"/>
      <c r="E467" s="67"/>
      <c r="F467" s="71"/>
      <c r="G467" s="71"/>
      <c r="H467" s="71"/>
      <c r="I467" s="71"/>
      <c r="J467" s="67"/>
      <c r="K467" s="79"/>
      <c r="L467" s="79"/>
    </row>
    <row r="468" spans="1:13">
      <c r="B468" s="11"/>
      <c r="C468" s="58"/>
      <c r="D468" s="12"/>
      <c r="E468" s="58"/>
      <c r="F468" s="12"/>
      <c r="G468" s="12"/>
      <c r="H468" s="12"/>
      <c r="I468" s="12"/>
      <c r="J468" s="58"/>
    </row>
    <row r="469" spans="1:13">
      <c r="B469" s="11"/>
      <c r="C469" s="58"/>
      <c r="D469" s="12" t="s">
        <v>1210</v>
      </c>
      <c r="E469" s="58"/>
      <c r="F469" s="12"/>
      <c r="G469" s="12"/>
      <c r="H469" s="12"/>
      <c r="I469" s="12"/>
      <c r="J469" s="58"/>
    </row>
    <row r="470" spans="1:13">
      <c r="B470" s="11"/>
      <c r="C470" s="58"/>
      <c r="D470" s="12"/>
      <c r="E470" s="57"/>
      <c r="F470" s="12"/>
      <c r="G470" s="12"/>
      <c r="H470" s="12"/>
      <c r="I470" s="12"/>
      <c r="J470" s="58"/>
    </row>
    <row r="471" spans="1:13">
      <c r="B471" s="11"/>
      <c r="C471" s="58"/>
      <c r="D471" s="12"/>
      <c r="E471" s="58"/>
      <c r="F471" s="12"/>
      <c r="G471" s="12"/>
      <c r="H471" s="12"/>
      <c r="I471" s="12"/>
      <c r="J471" s="58"/>
    </row>
    <row r="472" spans="1:13">
      <c r="B472" s="11"/>
      <c r="C472" s="58"/>
      <c r="D472" s="12"/>
      <c r="E472" s="58"/>
      <c r="F472" s="12"/>
      <c r="G472" s="12"/>
      <c r="H472" s="12"/>
      <c r="I472" s="12"/>
      <c r="J472" s="58"/>
    </row>
    <row r="473" spans="1:13">
      <c r="B473" s="11"/>
      <c r="C473" s="58"/>
      <c r="D473" s="12"/>
      <c r="E473" s="58"/>
      <c r="F473" s="12"/>
      <c r="G473" s="12"/>
      <c r="H473" s="12"/>
      <c r="I473" s="12"/>
      <c r="J473" s="58"/>
    </row>
    <row r="474" spans="1:13">
      <c r="B474" s="11"/>
      <c r="C474" s="58"/>
      <c r="D474" s="12"/>
      <c r="E474" s="58"/>
      <c r="F474" s="12"/>
      <c r="G474" s="12"/>
      <c r="H474" s="12"/>
      <c r="I474" s="12"/>
      <c r="J474" s="58"/>
    </row>
    <row r="475" spans="1:13">
      <c r="B475" s="11"/>
      <c r="C475" s="58"/>
      <c r="D475" s="12"/>
      <c r="E475" s="58"/>
      <c r="F475" s="12"/>
      <c r="G475" s="12"/>
      <c r="H475" s="12"/>
      <c r="I475" s="12"/>
      <c r="J475" s="58"/>
    </row>
    <row r="476" spans="1:13">
      <c r="B476" s="11"/>
      <c r="C476" s="58"/>
      <c r="D476" s="12"/>
      <c r="E476" s="58"/>
      <c r="F476" s="12"/>
      <c r="G476" s="12"/>
      <c r="H476" s="12"/>
      <c r="I476" s="12"/>
      <c r="J476" s="58"/>
    </row>
    <row r="477" spans="1:13">
      <c r="B477" s="11"/>
      <c r="C477" s="58"/>
      <c r="D477" s="12"/>
      <c r="E477" s="58"/>
      <c r="F477" s="12"/>
      <c r="G477" s="12"/>
      <c r="H477" s="12"/>
      <c r="I477" s="12"/>
      <c r="J477" s="58"/>
    </row>
    <row r="478" spans="1:13">
      <c r="B478" s="11"/>
      <c r="C478" s="58"/>
      <c r="D478" s="12"/>
      <c r="E478" s="58"/>
      <c r="F478" s="12"/>
      <c r="G478" s="12"/>
      <c r="H478" s="12"/>
      <c r="I478" s="12"/>
      <c r="J478" s="58"/>
    </row>
    <row r="479" spans="1:13">
      <c r="B479" s="11"/>
      <c r="C479" s="58"/>
      <c r="D479" s="12"/>
      <c r="E479" s="58"/>
      <c r="F479" s="12"/>
      <c r="G479" s="12"/>
      <c r="H479" s="12"/>
      <c r="I479" s="12"/>
      <c r="J479" s="58"/>
    </row>
    <row r="480" spans="1:13">
      <c r="B480" s="11"/>
      <c r="C480" s="58"/>
      <c r="D480" s="12"/>
      <c r="E480" s="58"/>
      <c r="F480" s="12"/>
      <c r="G480" s="12"/>
      <c r="H480" s="12"/>
      <c r="I480" s="12"/>
      <c r="J480" s="58"/>
    </row>
    <row r="481" spans="2:10">
      <c r="B481" s="11"/>
      <c r="C481" s="58"/>
      <c r="D481" s="12"/>
      <c r="E481" s="58"/>
      <c r="F481" s="12"/>
      <c r="G481" s="12"/>
      <c r="H481" s="12"/>
      <c r="I481" s="12"/>
      <c r="J481" s="58"/>
    </row>
    <row r="482" spans="2:10">
      <c r="B482" s="11"/>
      <c r="C482" s="58"/>
      <c r="D482" s="12"/>
      <c r="E482" s="58"/>
      <c r="F482" s="12"/>
      <c r="G482" s="12"/>
      <c r="H482" s="12"/>
      <c r="I482" s="12"/>
      <c r="J482" s="58"/>
    </row>
    <row r="483" spans="2:10">
      <c r="B483" s="11"/>
      <c r="C483" s="58"/>
      <c r="D483" s="12"/>
      <c r="E483" s="58"/>
      <c r="F483" s="12"/>
      <c r="G483" s="12"/>
      <c r="H483" s="12"/>
      <c r="I483" s="12"/>
      <c r="J483" s="58"/>
    </row>
    <row r="484" spans="2:10">
      <c r="B484" s="11"/>
      <c r="C484" s="58"/>
      <c r="D484" s="12"/>
      <c r="E484" s="58"/>
      <c r="F484" s="12"/>
      <c r="G484" s="12"/>
      <c r="H484" s="12"/>
      <c r="I484" s="12"/>
      <c r="J484" s="58"/>
    </row>
    <row r="485" spans="2:10">
      <c r="B485" s="11"/>
      <c r="C485" s="58"/>
      <c r="D485" s="12"/>
      <c r="E485" s="58"/>
      <c r="F485" s="12"/>
      <c r="G485" s="12"/>
      <c r="H485" s="12"/>
      <c r="I485" s="12"/>
      <c r="J485" s="58"/>
    </row>
    <row r="486" spans="2:10">
      <c r="B486" s="11"/>
      <c r="C486" s="58"/>
      <c r="D486" s="12"/>
      <c r="E486" s="58"/>
      <c r="F486" s="12"/>
      <c r="G486" s="12"/>
      <c r="H486" s="12"/>
      <c r="I486" s="12"/>
      <c r="J486" s="58"/>
    </row>
    <row r="487" spans="2:10">
      <c r="B487" s="11"/>
      <c r="C487" s="58"/>
      <c r="D487" s="12"/>
      <c r="E487" s="58"/>
      <c r="F487" s="12"/>
      <c r="G487" s="12"/>
      <c r="H487" s="12"/>
      <c r="I487" s="12"/>
      <c r="J487" s="58"/>
    </row>
    <row r="488" spans="2:10">
      <c r="B488" s="11"/>
      <c r="C488" s="58"/>
      <c r="D488" s="12"/>
      <c r="E488" s="58"/>
      <c r="F488" s="12"/>
      <c r="G488" s="12"/>
      <c r="H488" s="12"/>
      <c r="I488" s="12"/>
      <c r="J488" s="58"/>
    </row>
    <row r="489" spans="2:10">
      <c r="B489" s="11"/>
      <c r="C489" s="58"/>
      <c r="D489" s="12"/>
      <c r="E489" s="58"/>
      <c r="F489" s="12"/>
      <c r="G489" s="12"/>
      <c r="H489" s="12"/>
      <c r="I489" s="12"/>
      <c r="J489" s="58"/>
    </row>
    <row r="490" spans="2:10">
      <c r="B490" s="11"/>
      <c r="C490" s="58"/>
      <c r="D490" s="12"/>
      <c r="E490" s="58"/>
      <c r="F490" s="12"/>
      <c r="G490" s="12"/>
      <c r="H490" s="12"/>
      <c r="I490" s="12"/>
      <c r="J490" s="58"/>
    </row>
    <row r="491" spans="2:10">
      <c r="B491" s="57"/>
      <c r="C491" s="58"/>
      <c r="D491" s="58"/>
      <c r="E491" s="58"/>
      <c r="F491" s="58"/>
      <c r="G491" s="58"/>
      <c r="H491" s="58"/>
      <c r="I491" s="58"/>
      <c r="J491" s="58"/>
    </row>
    <row r="492" spans="2:10">
      <c r="B492" s="57"/>
      <c r="C492" s="58"/>
      <c r="D492" s="58"/>
      <c r="E492" s="58"/>
      <c r="F492" s="58"/>
      <c r="G492" s="58"/>
      <c r="H492" s="58"/>
      <c r="I492" s="58"/>
      <c r="J492" s="58"/>
    </row>
    <row r="493" spans="2:10">
      <c r="B493" s="57"/>
      <c r="C493" s="58"/>
      <c r="D493" s="58"/>
      <c r="E493" s="58"/>
      <c r="F493" s="58"/>
      <c r="G493" s="58"/>
      <c r="H493" s="58"/>
      <c r="I493" s="58"/>
      <c r="J493" s="58"/>
    </row>
    <row r="494" spans="2:10">
      <c r="B494" s="57"/>
      <c r="C494" s="58"/>
      <c r="D494" s="58"/>
      <c r="E494" s="58"/>
      <c r="F494" s="58"/>
      <c r="G494" s="58"/>
      <c r="H494" s="58"/>
      <c r="I494" s="58"/>
      <c r="J494" s="58"/>
    </row>
    <row r="495" spans="2:10">
      <c r="B495" s="57"/>
      <c r="C495" s="58"/>
      <c r="D495" s="58"/>
      <c r="E495" s="58"/>
      <c r="F495" s="58"/>
      <c r="G495" s="58"/>
      <c r="H495" s="58"/>
      <c r="I495" s="58"/>
      <c r="J495" s="58"/>
    </row>
    <row r="496" spans="2:10">
      <c r="B496" s="57"/>
      <c r="C496" s="58"/>
      <c r="D496" s="58"/>
      <c r="E496" s="58"/>
      <c r="F496" s="58"/>
      <c r="G496" s="58"/>
      <c r="H496" s="58"/>
      <c r="I496" s="58"/>
      <c r="J496" s="58"/>
    </row>
    <row r="497" spans="2:10">
      <c r="B497" s="57"/>
      <c r="C497" s="58"/>
      <c r="D497" s="58"/>
      <c r="E497" s="58"/>
      <c r="F497" s="58"/>
      <c r="G497" s="58"/>
      <c r="H497" s="58"/>
      <c r="I497" s="58"/>
      <c r="J497" s="58"/>
    </row>
    <row r="498" spans="2:10">
      <c r="B498" s="11"/>
      <c r="C498" s="58"/>
      <c r="D498" s="12"/>
      <c r="E498" s="58"/>
      <c r="F498" s="12"/>
      <c r="G498" s="12"/>
      <c r="H498" s="12"/>
      <c r="I498" s="12"/>
      <c r="J498" s="58"/>
    </row>
    <row r="499" spans="2:10">
      <c r="B499" s="57"/>
      <c r="C499" s="58"/>
      <c r="D499" s="58"/>
      <c r="E499" s="58"/>
      <c r="F499" s="58"/>
      <c r="G499" s="58"/>
      <c r="H499" s="58"/>
      <c r="I499" s="58"/>
      <c r="J499" s="58"/>
    </row>
    <row r="500" spans="2:10">
      <c r="B500" s="11"/>
      <c r="C500" s="58"/>
      <c r="D500" s="12"/>
      <c r="E500" s="58"/>
      <c r="F500" s="12"/>
      <c r="G500" s="12"/>
      <c r="H500" s="12"/>
      <c r="I500" s="12"/>
      <c r="J500" s="58"/>
    </row>
    <row r="501" spans="2:10">
      <c r="B501" s="57"/>
      <c r="C501" s="58"/>
      <c r="D501" s="58"/>
      <c r="E501" s="58"/>
      <c r="F501" s="58"/>
      <c r="G501" s="58"/>
      <c r="H501" s="58"/>
      <c r="I501" s="58"/>
      <c r="J501" s="58"/>
    </row>
    <row r="502" spans="2:10">
      <c r="B502" s="11"/>
      <c r="C502" s="58"/>
      <c r="D502" s="12"/>
      <c r="E502" s="58"/>
      <c r="F502" s="12"/>
      <c r="G502" s="12"/>
      <c r="H502" s="12"/>
      <c r="I502" s="12"/>
      <c r="J502" s="58"/>
    </row>
    <row r="503" spans="2:10">
      <c r="B503" s="57"/>
      <c r="C503" s="58"/>
      <c r="D503" s="58"/>
      <c r="E503" s="58"/>
      <c r="F503" s="58"/>
      <c r="G503" s="58"/>
      <c r="H503" s="58"/>
      <c r="I503" s="58"/>
      <c r="J503" s="58"/>
    </row>
    <row r="504" spans="2:10">
      <c r="B504" s="11"/>
      <c r="C504" s="58"/>
      <c r="D504" s="12"/>
      <c r="E504" s="58"/>
      <c r="F504" s="12"/>
      <c r="G504" s="12"/>
      <c r="H504" s="12"/>
      <c r="I504" s="12"/>
      <c r="J504" s="58"/>
    </row>
    <row r="505" spans="2:10">
      <c r="B505" s="57"/>
      <c r="C505" s="58"/>
      <c r="D505" s="58"/>
      <c r="E505" s="58"/>
      <c r="F505" s="58"/>
      <c r="G505" s="58"/>
      <c r="H505" s="58"/>
      <c r="I505" s="58"/>
      <c r="J505" s="58"/>
    </row>
    <row r="506" spans="2:10">
      <c r="B506" s="11"/>
      <c r="C506" s="58"/>
      <c r="D506" s="12"/>
      <c r="E506" s="58"/>
      <c r="F506" s="12"/>
      <c r="G506" s="12"/>
      <c r="H506" s="12"/>
      <c r="I506" s="12"/>
      <c r="J506" s="58"/>
    </row>
    <row r="507" spans="2:10">
      <c r="B507" s="57"/>
      <c r="C507" s="58"/>
      <c r="D507" s="58"/>
      <c r="E507" s="58"/>
      <c r="F507" s="58"/>
      <c r="G507" s="58"/>
      <c r="H507" s="58"/>
      <c r="I507" s="58"/>
      <c r="J507" s="58"/>
    </row>
    <row r="508" spans="2:10">
      <c r="B508" s="11"/>
      <c r="C508" s="58"/>
      <c r="D508" s="12"/>
      <c r="E508" s="58"/>
      <c r="F508" s="12"/>
      <c r="G508" s="12"/>
      <c r="H508" s="12"/>
      <c r="I508" s="12"/>
      <c r="J508" s="58"/>
    </row>
    <row r="509" spans="2:10">
      <c r="B509" s="57"/>
      <c r="C509" s="58"/>
      <c r="D509" s="58"/>
      <c r="E509" s="58"/>
      <c r="F509" s="58"/>
      <c r="G509" s="58"/>
      <c r="H509" s="58"/>
      <c r="I509" s="58"/>
      <c r="J509" s="58"/>
    </row>
    <row r="510" spans="2:10">
      <c r="B510" s="11"/>
      <c r="C510" s="58"/>
      <c r="D510" s="12"/>
      <c r="E510" s="58"/>
      <c r="F510" s="12"/>
      <c r="G510" s="12"/>
      <c r="H510" s="12"/>
      <c r="I510" s="12"/>
      <c r="J510" s="58"/>
    </row>
    <row r="511" spans="2:10">
      <c r="B511" s="57"/>
      <c r="C511" s="58"/>
      <c r="D511" s="58"/>
      <c r="E511" s="58"/>
      <c r="F511" s="58"/>
      <c r="G511" s="58"/>
      <c r="H511" s="58"/>
      <c r="I511" s="58"/>
      <c r="J511" s="58"/>
    </row>
    <row r="512" spans="2:10">
      <c r="B512" s="11"/>
      <c r="C512" s="58"/>
      <c r="D512" s="12"/>
      <c r="E512" s="58"/>
      <c r="F512" s="12"/>
      <c r="G512" s="12"/>
      <c r="H512" s="12"/>
      <c r="I512" s="12"/>
      <c r="J512" s="58"/>
    </row>
    <row r="513" spans="2:10">
      <c r="B513" s="57"/>
      <c r="C513" s="58"/>
      <c r="D513" s="58"/>
      <c r="E513" s="58"/>
      <c r="F513" s="58"/>
      <c r="G513" s="58"/>
      <c r="H513" s="58"/>
      <c r="I513" s="58"/>
      <c r="J513" s="58"/>
    </row>
    <row r="514" spans="2:10">
      <c r="B514" s="59"/>
      <c r="C514" s="60"/>
      <c r="D514" s="58"/>
      <c r="E514" s="60"/>
      <c r="F514" s="60"/>
      <c r="G514" s="60"/>
      <c r="H514" s="60"/>
      <c r="I514" s="60"/>
      <c r="J514" s="60"/>
    </row>
    <row r="515" spans="2:10">
      <c r="B515" s="59"/>
      <c r="C515" s="60"/>
      <c r="D515" s="58"/>
      <c r="E515" s="60"/>
      <c r="F515" s="60"/>
      <c r="G515" s="60"/>
      <c r="H515" s="60"/>
      <c r="I515" s="60"/>
      <c r="J515" s="60"/>
    </row>
    <row r="516" spans="2:10">
      <c r="B516" s="59"/>
      <c r="C516" s="60"/>
      <c r="D516" s="58"/>
      <c r="E516" s="60"/>
      <c r="F516" s="60"/>
      <c r="G516" s="60"/>
      <c r="H516" s="60"/>
      <c r="I516" s="60"/>
      <c r="J516" s="60"/>
    </row>
    <row r="517" spans="2:10">
      <c r="B517" s="59"/>
      <c r="C517" s="60"/>
      <c r="D517" s="58"/>
      <c r="E517" s="60"/>
      <c r="F517" s="60"/>
      <c r="G517" s="60"/>
      <c r="H517" s="60"/>
      <c r="I517" s="60"/>
      <c r="J517" s="60"/>
    </row>
    <row r="518" spans="2:10">
      <c r="B518" s="57"/>
      <c r="C518" s="58"/>
      <c r="D518" s="58"/>
      <c r="E518" s="58"/>
      <c r="F518" s="58"/>
      <c r="G518" s="58"/>
      <c r="H518" s="58"/>
      <c r="I518" s="58"/>
      <c r="J518" s="58"/>
    </row>
    <row r="519" spans="2:10">
      <c r="B519" s="57"/>
      <c r="C519" s="58"/>
      <c r="D519" s="58"/>
      <c r="E519" s="58"/>
      <c r="F519" s="58"/>
      <c r="G519" s="58"/>
      <c r="H519" s="58"/>
      <c r="I519" s="58"/>
      <c r="J519" s="58"/>
    </row>
    <row r="520" spans="2:10">
      <c r="B520" s="59"/>
      <c r="C520" s="60"/>
      <c r="D520" s="58"/>
      <c r="E520" s="60"/>
      <c r="F520" s="60"/>
      <c r="G520" s="60"/>
      <c r="H520" s="60"/>
      <c r="I520" s="60"/>
      <c r="J520" s="60"/>
    </row>
    <row r="521" spans="2:10">
      <c r="B521" s="59"/>
      <c r="C521" s="60"/>
      <c r="D521" s="58"/>
      <c r="E521" s="60"/>
      <c r="F521" s="60"/>
      <c r="G521" s="60"/>
      <c r="H521" s="60"/>
      <c r="I521" s="60"/>
      <c r="J521" s="60"/>
    </row>
    <row r="522" spans="2:10">
      <c r="B522" s="61"/>
      <c r="C522" s="63"/>
      <c r="D522" s="62"/>
      <c r="E522" s="63"/>
      <c r="F522" s="63"/>
      <c r="G522" s="63"/>
      <c r="H522" s="63"/>
      <c r="I522" s="63"/>
      <c r="J522" s="63"/>
    </row>
    <row r="523" spans="2:10">
      <c r="B523" s="61"/>
      <c r="C523" s="63"/>
      <c r="D523" s="62"/>
      <c r="E523" s="63"/>
      <c r="F523" s="63"/>
      <c r="G523" s="63"/>
      <c r="H523" s="63"/>
      <c r="I523" s="63"/>
      <c r="J523" s="63"/>
    </row>
    <row r="534" ht="12.6" customHeight="1"/>
  </sheetData>
  <phoneticPr fontId="1" type="noConversion"/>
  <conditionalFormatting sqref="H2">
    <cfRule type="cellIs" dxfId="38" priority="4" operator="equal">
      <formula>"""CEAPS"""</formula>
    </cfRule>
  </conditionalFormatting>
  <conditionalFormatting sqref="C235">
    <cfRule type="expression" dxfId="37" priority="3" stopIfTrue="1">
      <formula>"CEAPS"</formula>
    </cfRule>
  </conditionalFormatting>
  <conditionalFormatting sqref="C1:C1048576">
    <cfRule type="containsText" dxfId="36" priority="1" operator="containsText" text="CEAPS">
      <formula>NOT(ISERROR(SEARCH("CEAPS",C1)))</formula>
    </cfRule>
  </conditionalFormatting>
  <dataValidations count="2">
    <dataValidation type="date" allowBlank="1" showInputMessage="1" showErrorMessage="1" sqref="B8:C466" xr:uid="{1C1C7021-9B76-4CEF-83BD-0D154FAB751A}">
      <formula1>29221</formula1>
      <formula2>398117</formula2>
    </dataValidation>
    <dataValidation operator="greaterThanOrEqual" allowBlank="1" showInputMessage="1" showErrorMessage="1" sqref="F8:F466" xr:uid="{FF9F2654-E78E-4FB5-9723-058FF705412A}"/>
  </dataValidations>
  <pageMargins left="0.7" right="0.7" top="0.75" bottom="0.75" header="0.3" footer="0.3"/>
  <pageSetup paperSize="281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RIMIR">
                <anchor moveWithCells="1" sizeWithCells="1">
                  <from>
                    <xdr:col>4</xdr:col>
                    <xdr:colOff>533400</xdr:colOff>
                    <xdr:row>1</xdr:row>
                    <xdr:rowOff>0</xdr:rowOff>
                  </from>
                  <to>
                    <xdr:col>5</xdr:col>
                    <xdr:colOff>57150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42AD-2597-45E0-B18B-7E474ADB7AF4}">
  <sheetPr codeName="Hoja5">
    <pageSetUpPr fitToPage="1"/>
  </sheetPr>
  <dimension ref="A1:I161"/>
  <sheetViews>
    <sheetView topLeftCell="A3" zoomScale="85" zoomScaleNormal="85" workbookViewId="0">
      <selection activeCell="D5" sqref="D5"/>
    </sheetView>
  </sheetViews>
  <sheetFormatPr baseColWidth="10" defaultColWidth="11.42578125" defaultRowHeight="26.25"/>
  <cols>
    <col min="1" max="1" width="14.7109375" style="23" bestFit="1" customWidth="1"/>
    <col min="2" max="2" width="18.28515625" style="23" bestFit="1" customWidth="1"/>
    <col min="3" max="3" width="14.140625" style="23" bestFit="1" customWidth="1"/>
    <col min="4" max="4" width="82.85546875" style="23" customWidth="1"/>
    <col min="5" max="5" width="17" style="23" customWidth="1"/>
    <col min="6" max="7" width="50.140625" style="23" customWidth="1"/>
    <col min="8" max="8" width="20.85546875" style="23" customWidth="1"/>
    <col min="9" max="9" width="32" style="23" customWidth="1"/>
    <col min="10" max="16384" width="11.42578125" style="23"/>
  </cols>
  <sheetData>
    <row r="1" spans="1:9" hidden="1"/>
    <row r="2" spans="1:9" ht="31.5" hidden="1">
      <c r="A2" s="240" t="s">
        <v>1216</v>
      </c>
      <c r="B2" s="240"/>
      <c r="C2" s="240"/>
      <c r="D2" s="240"/>
      <c r="E2" s="240"/>
      <c r="F2" s="240"/>
      <c r="G2" s="175"/>
    </row>
    <row r="3" spans="1:9" s="53" customFormat="1" ht="52.5">
      <c r="A3" s="49" t="s">
        <v>1206</v>
      </c>
      <c r="B3" s="50" t="s">
        <v>1201</v>
      </c>
      <c r="C3" s="50" t="s">
        <v>1214</v>
      </c>
      <c r="D3" s="50" t="s">
        <v>1203</v>
      </c>
      <c r="E3" s="50" t="s">
        <v>1217</v>
      </c>
      <c r="F3" s="50" t="s">
        <v>1213</v>
      </c>
      <c r="G3" s="50" t="s">
        <v>1362</v>
      </c>
      <c r="H3" s="51" t="s">
        <v>1230</v>
      </c>
      <c r="I3" s="52" t="s">
        <v>1231</v>
      </c>
    </row>
    <row r="4" spans="1:9" s="53" customFormat="1">
      <c r="A4" s="49">
        <f ca="1">TODAY()</f>
        <v>46146</v>
      </c>
      <c r="B4" s="50"/>
      <c r="C4" s="50"/>
      <c r="D4" s="50"/>
      <c r="E4" s="50"/>
      <c r="F4" s="131"/>
      <c r="G4" s="131"/>
      <c r="H4" s="51"/>
      <c r="I4" s="52"/>
    </row>
    <row r="5" spans="1:9" s="53" customFormat="1">
      <c r="A5" s="24">
        <v>46134</v>
      </c>
      <c r="B5" s="64" t="s">
        <v>1191</v>
      </c>
      <c r="C5" s="25">
        <v>449</v>
      </c>
      <c r="D5" s="64" t="s">
        <v>786</v>
      </c>
      <c r="E5" s="26"/>
      <c r="F5" s="123" t="s">
        <v>1399</v>
      </c>
      <c r="G5" s="131"/>
      <c r="H5" s="51"/>
      <c r="I5" s="52"/>
    </row>
    <row r="6" spans="1:9" s="53" customFormat="1">
      <c r="A6" s="24">
        <v>46133</v>
      </c>
      <c r="B6" s="64" t="s">
        <v>1191</v>
      </c>
      <c r="C6" s="25">
        <v>940</v>
      </c>
      <c r="D6" s="64" t="s">
        <v>675</v>
      </c>
      <c r="E6" s="26"/>
      <c r="F6" s="123" t="s">
        <v>1398</v>
      </c>
      <c r="G6" s="131"/>
      <c r="H6" s="51"/>
      <c r="I6" s="52"/>
    </row>
    <row r="7" spans="1:9" s="53" customFormat="1" ht="37.5">
      <c r="A7" s="24">
        <v>46133</v>
      </c>
      <c r="B7" s="64" t="s">
        <v>1191</v>
      </c>
      <c r="C7" s="25">
        <v>921</v>
      </c>
      <c r="D7" s="64" t="s">
        <v>545</v>
      </c>
      <c r="E7" s="26"/>
      <c r="F7" s="123" t="s">
        <v>1397</v>
      </c>
      <c r="G7" s="131"/>
      <c r="H7" s="51"/>
      <c r="I7" s="52"/>
    </row>
    <row r="8" spans="1:9" s="53" customFormat="1" ht="37.5">
      <c r="A8" s="24">
        <v>46132</v>
      </c>
      <c r="B8" s="64" t="s">
        <v>1189</v>
      </c>
      <c r="C8" s="25">
        <v>450</v>
      </c>
      <c r="D8" s="64" t="s">
        <v>787</v>
      </c>
      <c r="E8" s="26"/>
      <c r="F8" s="123" t="s">
        <v>1396</v>
      </c>
      <c r="G8" s="131"/>
      <c r="H8" s="51"/>
      <c r="I8" s="52"/>
    </row>
    <row r="9" spans="1:9" s="53" customFormat="1" ht="37.5">
      <c r="A9" s="24">
        <v>46132</v>
      </c>
      <c r="B9" s="64" t="s">
        <v>1189</v>
      </c>
      <c r="C9" s="25">
        <v>940</v>
      </c>
      <c r="D9" s="64" t="s">
        <v>675</v>
      </c>
      <c r="E9" s="26"/>
      <c r="F9" s="123" t="s">
        <v>1395</v>
      </c>
      <c r="G9" s="131"/>
      <c r="H9" s="51"/>
      <c r="I9" s="52"/>
    </row>
    <row r="10" spans="1:9" s="53" customFormat="1" ht="37.5">
      <c r="A10" s="24">
        <v>46132</v>
      </c>
      <c r="B10" s="64" t="s">
        <v>1189</v>
      </c>
      <c r="C10" s="25">
        <v>870</v>
      </c>
      <c r="D10" s="64" t="s">
        <v>226</v>
      </c>
      <c r="E10" s="26"/>
      <c r="F10" s="123" t="s">
        <v>1394</v>
      </c>
      <c r="G10" s="131"/>
      <c r="H10" s="51"/>
      <c r="I10" s="52"/>
    </row>
    <row r="11" spans="1:9" s="53" customFormat="1" ht="37.5">
      <c r="A11" s="24">
        <v>46126</v>
      </c>
      <c r="B11" s="64" t="s">
        <v>1185</v>
      </c>
      <c r="C11" s="232">
        <v>1319</v>
      </c>
      <c r="D11" s="64" t="s">
        <v>275</v>
      </c>
      <c r="E11" s="26"/>
      <c r="F11" s="123" t="s">
        <v>1392</v>
      </c>
      <c r="G11" s="131"/>
      <c r="H11" s="51"/>
      <c r="I11" s="52"/>
    </row>
    <row r="12" spans="1:9" s="53" customFormat="1" ht="37.5">
      <c r="A12" s="24">
        <v>46125</v>
      </c>
      <c r="B12" s="64" t="s">
        <v>1185</v>
      </c>
      <c r="C12" s="232">
        <v>851</v>
      </c>
      <c r="D12" s="64" t="s">
        <v>72</v>
      </c>
      <c r="E12" s="26"/>
      <c r="F12" s="123" t="s">
        <v>1391</v>
      </c>
      <c r="G12" s="131"/>
      <c r="H12" s="51"/>
      <c r="I12" s="52"/>
    </row>
    <row r="13" spans="1:9" s="53" customFormat="1" ht="37.5">
      <c r="A13" s="24">
        <v>46125</v>
      </c>
      <c r="B13" s="64" t="s">
        <v>1185</v>
      </c>
      <c r="C13" s="232">
        <v>843</v>
      </c>
      <c r="D13" s="64" t="s">
        <v>20</v>
      </c>
      <c r="E13" s="26"/>
      <c r="F13" s="123" t="s">
        <v>1390</v>
      </c>
      <c r="G13" s="131"/>
      <c r="H13" s="51"/>
      <c r="I13" s="52"/>
    </row>
    <row r="14" spans="1:9" s="53" customFormat="1">
      <c r="A14" s="24">
        <v>46125</v>
      </c>
      <c r="B14" s="64" t="s">
        <v>1188</v>
      </c>
      <c r="C14" s="232">
        <v>198</v>
      </c>
      <c r="D14" s="64" t="s">
        <v>64</v>
      </c>
      <c r="E14" s="26"/>
      <c r="F14" s="123" t="s">
        <v>1389</v>
      </c>
      <c r="G14" s="131"/>
      <c r="H14" s="51"/>
      <c r="I14" s="52"/>
    </row>
    <row r="15" spans="1:9" s="53" customFormat="1">
      <c r="A15" s="24">
        <v>46122</v>
      </c>
      <c r="B15" s="64" t="s">
        <v>1188</v>
      </c>
      <c r="C15" s="232">
        <v>1319</v>
      </c>
      <c r="D15" s="64" t="s">
        <v>275</v>
      </c>
      <c r="E15" s="26"/>
      <c r="F15" s="123" t="s">
        <v>1388</v>
      </c>
      <c r="G15" s="131"/>
      <c r="H15" s="51"/>
      <c r="I15" s="52"/>
    </row>
    <row r="16" spans="1:9" s="53" customFormat="1">
      <c r="A16" s="24">
        <v>46122</v>
      </c>
      <c r="B16" s="64" t="s">
        <v>1188</v>
      </c>
      <c r="C16" s="232">
        <v>851</v>
      </c>
      <c r="D16" s="64" t="s">
        <v>72</v>
      </c>
      <c r="E16" s="26"/>
      <c r="F16" s="123" t="s">
        <v>1387</v>
      </c>
      <c r="G16" s="131"/>
      <c r="H16" s="51"/>
      <c r="I16" s="52"/>
    </row>
    <row r="17" spans="1:9" s="53" customFormat="1">
      <c r="A17" s="24">
        <v>46122</v>
      </c>
      <c r="B17" s="64" t="s">
        <v>1198</v>
      </c>
      <c r="C17" s="232">
        <v>851</v>
      </c>
      <c r="D17" s="64" t="s">
        <v>72</v>
      </c>
      <c r="E17" s="26"/>
      <c r="F17" s="123" t="s">
        <v>1387</v>
      </c>
      <c r="G17" s="131"/>
      <c r="H17" s="51"/>
      <c r="I17" s="52"/>
    </row>
    <row r="18" spans="1:9" s="53" customFormat="1">
      <c r="A18" s="24">
        <v>46122</v>
      </c>
      <c r="B18" s="64" t="s">
        <v>1198</v>
      </c>
      <c r="C18" s="232">
        <v>843</v>
      </c>
      <c r="D18" s="64" t="s">
        <v>20</v>
      </c>
      <c r="E18" s="26"/>
      <c r="F18" s="123" t="s">
        <v>1386</v>
      </c>
      <c r="G18" s="131"/>
      <c r="H18" s="51"/>
      <c r="I18" s="52"/>
    </row>
    <row r="19" spans="1:9" s="53" customFormat="1">
      <c r="A19" s="24">
        <v>46118</v>
      </c>
      <c r="B19" s="64" t="s">
        <v>1183</v>
      </c>
      <c r="C19" s="25">
        <v>1091</v>
      </c>
      <c r="D19" s="64" t="s">
        <v>801</v>
      </c>
      <c r="E19" s="26"/>
      <c r="F19" s="123" t="s">
        <v>1383</v>
      </c>
      <c r="G19" s="131" t="s">
        <v>1384</v>
      </c>
      <c r="H19" s="51"/>
      <c r="I19" s="52"/>
    </row>
    <row r="20" spans="1:9" s="53" customFormat="1" ht="37.5">
      <c r="A20" s="24">
        <v>46118</v>
      </c>
      <c r="B20" s="64" t="s">
        <v>1184</v>
      </c>
      <c r="C20" s="25">
        <v>843</v>
      </c>
      <c r="D20" s="64" t="s">
        <v>20</v>
      </c>
      <c r="E20" s="26"/>
      <c r="F20" s="123"/>
      <c r="G20" s="131"/>
      <c r="H20" s="51"/>
      <c r="I20" s="52"/>
    </row>
    <row r="21" spans="1:9" s="53" customFormat="1" ht="37.5">
      <c r="A21" s="24">
        <v>46114</v>
      </c>
      <c r="B21" s="64" t="s">
        <v>1182</v>
      </c>
      <c r="C21" s="25">
        <v>1108</v>
      </c>
      <c r="D21" s="64" t="s">
        <v>502</v>
      </c>
      <c r="E21" s="26"/>
      <c r="F21" s="123"/>
      <c r="G21" s="131"/>
      <c r="H21" s="51"/>
      <c r="I21" s="52"/>
    </row>
    <row r="22" spans="1:9" s="53" customFormat="1">
      <c r="A22" s="24">
        <v>46111</v>
      </c>
      <c r="B22" s="64" t="s">
        <v>1194</v>
      </c>
      <c r="C22" s="25">
        <v>345</v>
      </c>
      <c r="D22" s="64" t="s">
        <v>794</v>
      </c>
      <c r="E22" s="26"/>
      <c r="F22" s="123" t="s">
        <v>1382</v>
      </c>
      <c r="G22" s="131"/>
      <c r="H22" s="51"/>
      <c r="I22" s="52"/>
    </row>
    <row r="23" spans="1:9" s="53" customFormat="1">
      <c r="A23" s="24">
        <v>46107</v>
      </c>
      <c r="B23" s="64" t="s">
        <v>1191</v>
      </c>
      <c r="C23" s="25">
        <v>886</v>
      </c>
      <c r="D23" s="64" t="s">
        <v>297</v>
      </c>
      <c r="E23" s="26"/>
      <c r="F23" s="123"/>
      <c r="G23" s="131"/>
      <c r="H23" s="51"/>
      <c r="I23" s="52"/>
    </row>
    <row r="24" spans="1:9" s="53" customFormat="1">
      <c r="A24" s="24">
        <v>46090</v>
      </c>
      <c r="B24" s="64" t="s">
        <v>1183</v>
      </c>
      <c r="C24" s="25">
        <v>1130</v>
      </c>
      <c r="D24" s="64" t="s">
        <v>802</v>
      </c>
      <c r="E24" s="26"/>
      <c r="F24" s="123"/>
      <c r="G24" s="131"/>
      <c r="H24" s="51"/>
      <c r="I24" s="52"/>
    </row>
    <row r="25" spans="1:9" s="53" customFormat="1">
      <c r="A25" s="24">
        <v>46090</v>
      </c>
      <c r="B25" s="64" t="s">
        <v>1183</v>
      </c>
      <c r="C25" s="25">
        <v>345</v>
      </c>
      <c r="D25" s="64" t="s">
        <v>794</v>
      </c>
      <c r="E25" s="26"/>
      <c r="F25" s="123"/>
      <c r="G25" s="131"/>
      <c r="H25" s="51"/>
      <c r="I25" s="52"/>
    </row>
    <row r="26" spans="1:9" s="53" customFormat="1" ht="52.5">
      <c r="A26" s="24">
        <v>46090</v>
      </c>
      <c r="B26" s="64" t="s">
        <v>1184</v>
      </c>
      <c r="C26" s="25">
        <v>21921</v>
      </c>
      <c r="D26" s="64" t="s">
        <v>176</v>
      </c>
      <c r="E26" s="26"/>
      <c r="F26" s="123"/>
      <c r="G26" s="215" t="s">
        <v>1376</v>
      </c>
      <c r="H26" s="51" t="s">
        <v>1370</v>
      </c>
      <c r="I26" s="52" t="s">
        <v>1379</v>
      </c>
    </row>
    <row r="27" spans="1:9" s="53" customFormat="1" ht="37.5">
      <c r="A27" s="24">
        <v>46090</v>
      </c>
      <c r="B27" s="64" t="s">
        <v>1184</v>
      </c>
      <c r="C27" s="25">
        <v>936</v>
      </c>
      <c r="D27" s="64" t="s">
        <v>650</v>
      </c>
      <c r="E27" s="26"/>
      <c r="F27" s="123"/>
      <c r="G27" s="215" t="s">
        <v>1377</v>
      </c>
      <c r="H27" s="51" t="s">
        <v>1370</v>
      </c>
      <c r="I27" s="52"/>
    </row>
    <row r="28" spans="1:9" s="53" customFormat="1" ht="37.5">
      <c r="A28" s="24">
        <v>46087</v>
      </c>
      <c r="B28" s="64" t="s">
        <v>1184</v>
      </c>
      <c r="C28" s="25">
        <v>1017</v>
      </c>
      <c r="D28" s="64" t="s">
        <v>1034</v>
      </c>
      <c r="E28" s="26"/>
      <c r="F28" s="123"/>
      <c r="G28" s="215" t="s">
        <v>1377</v>
      </c>
      <c r="H28" s="51" t="s">
        <v>1370</v>
      </c>
      <c r="I28" s="52"/>
    </row>
    <row r="29" spans="1:9" s="53" customFormat="1" ht="52.5">
      <c r="A29" s="24">
        <v>46085</v>
      </c>
      <c r="B29" s="64" t="s">
        <v>1182</v>
      </c>
      <c r="C29" s="25">
        <v>21921</v>
      </c>
      <c r="D29" s="64" t="s">
        <v>176</v>
      </c>
      <c r="E29" s="26"/>
      <c r="F29" s="123" t="s">
        <v>1375</v>
      </c>
      <c r="G29" s="215" t="s">
        <v>1376</v>
      </c>
      <c r="H29" s="51" t="s">
        <v>1370</v>
      </c>
      <c r="I29" s="52"/>
    </row>
    <row r="30" spans="1:9" s="53" customFormat="1">
      <c r="A30" s="24">
        <v>46085</v>
      </c>
      <c r="B30" s="64" t="s">
        <v>1182</v>
      </c>
      <c r="C30" s="25">
        <v>1017</v>
      </c>
      <c r="D30" s="64" t="s">
        <v>1034</v>
      </c>
      <c r="E30" s="26"/>
      <c r="F30" s="123"/>
      <c r="G30" s="215" t="s">
        <v>1369</v>
      </c>
      <c r="H30" s="51" t="s">
        <v>1370</v>
      </c>
      <c r="I30" s="52"/>
    </row>
    <row r="31" spans="1:9" s="53" customFormat="1">
      <c r="A31" s="24">
        <v>46085</v>
      </c>
      <c r="B31" s="64" t="s">
        <v>1183</v>
      </c>
      <c r="C31" s="25">
        <v>899</v>
      </c>
      <c r="D31" s="64" t="s">
        <v>385</v>
      </c>
      <c r="E31" s="26"/>
      <c r="F31" s="123"/>
      <c r="G31" s="215" t="s">
        <v>1369</v>
      </c>
      <c r="H31" s="216" t="s">
        <v>1370</v>
      </c>
      <c r="I31" s="218" t="s">
        <v>1378</v>
      </c>
    </row>
    <row r="32" spans="1:9" s="53" customFormat="1" ht="37.5">
      <c r="A32" s="24">
        <v>46078</v>
      </c>
      <c r="B32" s="64" t="s">
        <v>1191</v>
      </c>
      <c r="C32" s="25">
        <v>1021</v>
      </c>
      <c r="D32" s="64" t="s">
        <v>1100</v>
      </c>
      <c r="E32" s="26"/>
      <c r="F32" s="123"/>
      <c r="G32" s="215" t="s">
        <v>1369</v>
      </c>
      <c r="H32" s="216" t="s">
        <v>1329</v>
      </c>
      <c r="I32" s="217">
        <v>46079</v>
      </c>
    </row>
    <row r="33" spans="1:9" s="53" customFormat="1">
      <c r="A33" s="24">
        <v>46078</v>
      </c>
      <c r="B33" s="64" t="s">
        <v>1193</v>
      </c>
      <c r="C33" s="25">
        <v>1104</v>
      </c>
      <c r="D33" s="64" t="s">
        <v>58</v>
      </c>
      <c r="E33" s="26"/>
      <c r="F33" s="123"/>
      <c r="G33" s="215" t="s">
        <v>1371</v>
      </c>
      <c r="H33" s="216" t="s">
        <v>1370</v>
      </c>
      <c r="I33" s="217">
        <v>46083</v>
      </c>
    </row>
    <row r="34" spans="1:9" s="53" customFormat="1" ht="37.5">
      <c r="A34" s="24">
        <v>46071</v>
      </c>
      <c r="B34" s="64" t="s">
        <v>1185</v>
      </c>
      <c r="C34" s="25">
        <v>1227</v>
      </c>
      <c r="D34" s="64" t="s">
        <v>571</v>
      </c>
      <c r="E34" s="26"/>
      <c r="F34" s="123"/>
      <c r="G34" s="215" t="s">
        <v>1372</v>
      </c>
      <c r="H34" s="216" t="s">
        <v>1329</v>
      </c>
      <c r="I34" s="217">
        <v>46083</v>
      </c>
    </row>
    <row r="35" spans="1:9">
      <c r="A35" s="177">
        <v>46066</v>
      </c>
      <c r="B35" s="178" t="s">
        <v>1182</v>
      </c>
      <c r="C35" s="179">
        <v>285</v>
      </c>
      <c r="D35" s="178" t="s">
        <v>806</v>
      </c>
      <c r="E35" s="180"/>
      <c r="F35" s="181"/>
      <c r="G35" s="185" t="s">
        <v>1363</v>
      </c>
      <c r="H35" s="186" t="s">
        <v>1329</v>
      </c>
      <c r="I35" s="187">
        <v>46069</v>
      </c>
    </row>
    <row r="36" spans="1:9">
      <c r="A36" s="177">
        <v>46066</v>
      </c>
      <c r="B36" s="178" t="s">
        <v>1182</v>
      </c>
      <c r="C36" s="179">
        <v>417</v>
      </c>
      <c r="D36" s="178" t="s">
        <v>663</v>
      </c>
      <c r="E36" s="180"/>
      <c r="F36" s="181"/>
      <c r="G36" s="185" t="s">
        <v>1364</v>
      </c>
      <c r="H36" s="186" t="s">
        <v>1329</v>
      </c>
      <c r="I36" s="187">
        <v>46069</v>
      </c>
    </row>
    <row r="37" spans="1:9">
      <c r="A37" s="177">
        <v>46066</v>
      </c>
      <c r="B37" s="178" t="s">
        <v>1182</v>
      </c>
      <c r="C37" s="179">
        <v>265</v>
      </c>
      <c r="D37" s="178" t="s">
        <v>660</v>
      </c>
      <c r="E37" s="180"/>
      <c r="F37" s="181"/>
      <c r="G37" s="185" t="s">
        <v>1364</v>
      </c>
      <c r="H37" s="186" t="s">
        <v>1329</v>
      </c>
      <c r="I37" s="187">
        <v>16</v>
      </c>
    </row>
    <row r="38" spans="1:9">
      <c r="A38" s="177">
        <v>46065</v>
      </c>
      <c r="B38" s="178" t="s">
        <v>1189</v>
      </c>
      <c r="C38" s="179">
        <v>1172</v>
      </c>
      <c r="D38" s="178" t="s">
        <v>574</v>
      </c>
      <c r="E38" s="180"/>
      <c r="F38" s="181"/>
      <c r="G38" s="185" t="s">
        <v>1365</v>
      </c>
      <c r="H38" s="186" t="s">
        <v>1329</v>
      </c>
      <c r="I38" s="187">
        <v>46069</v>
      </c>
    </row>
    <row r="39" spans="1:9">
      <c r="A39" s="177">
        <v>46064</v>
      </c>
      <c r="B39" s="178" t="s">
        <v>1182</v>
      </c>
      <c r="C39" s="179">
        <v>943</v>
      </c>
      <c r="D39" s="178" t="s">
        <v>678</v>
      </c>
      <c r="E39" s="180"/>
      <c r="F39" s="181"/>
      <c r="G39" s="185" t="s">
        <v>1365</v>
      </c>
      <c r="H39" s="186" t="s">
        <v>1329</v>
      </c>
      <c r="I39" s="187">
        <v>46069</v>
      </c>
    </row>
    <row r="40" spans="1:9">
      <c r="A40" s="177">
        <v>46062</v>
      </c>
      <c r="B40" s="178" t="s">
        <v>1198</v>
      </c>
      <c r="C40" s="179">
        <v>994</v>
      </c>
      <c r="D40" s="178" t="s">
        <v>937</v>
      </c>
      <c r="E40" s="180">
        <v>200</v>
      </c>
      <c r="F40" s="181" t="s">
        <v>1355</v>
      </c>
      <c r="G40" s="181"/>
      <c r="H40" s="182"/>
      <c r="I40" s="183"/>
    </row>
    <row r="41" spans="1:9" ht="30">
      <c r="A41" s="177">
        <v>46059</v>
      </c>
      <c r="B41" s="178" t="s">
        <v>1187</v>
      </c>
      <c r="C41" s="179">
        <v>899</v>
      </c>
      <c r="D41" s="178" t="s">
        <v>385</v>
      </c>
      <c r="E41" s="180"/>
      <c r="F41" s="181" t="s">
        <v>1354</v>
      </c>
      <c r="G41" s="181"/>
      <c r="H41" s="182" t="s">
        <v>1329</v>
      </c>
      <c r="I41" s="184">
        <v>46069</v>
      </c>
    </row>
    <row r="42" spans="1:9" ht="30">
      <c r="A42" s="177">
        <v>46058</v>
      </c>
      <c r="B42" s="178" t="s">
        <v>1184</v>
      </c>
      <c r="C42" s="179">
        <v>192</v>
      </c>
      <c r="D42" s="178" t="s">
        <v>48</v>
      </c>
      <c r="E42" s="180"/>
      <c r="F42" s="181" t="s">
        <v>1353</v>
      </c>
      <c r="G42" s="181"/>
      <c r="H42" s="182"/>
      <c r="I42" s="183"/>
    </row>
    <row r="43" spans="1:9" s="53" customFormat="1" ht="37.5">
      <c r="A43" s="24">
        <v>46058</v>
      </c>
      <c r="B43" s="64" t="s">
        <v>1189</v>
      </c>
      <c r="C43" s="25">
        <v>994</v>
      </c>
      <c r="D43" s="64" t="s">
        <v>937</v>
      </c>
      <c r="E43" s="26"/>
      <c r="F43" s="123" t="s">
        <v>1352</v>
      </c>
      <c r="G43" s="123"/>
      <c r="H43" s="51"/>
      <c r="I43" s="52"/>
    </row>
    <row r="44" spans="1:9" s="53" customFormat="1" ht="37.5">
      <c r="A44" s="24">
        <v>46044</v>
      </c>
      <c r="B44" s="64" t="s">
        <v>1189</v>
      </c>
      <c r="C44" s="25">
        <v>1004</v>
      </c>
      <c r="D44" s="64" t="s">
        <v>988</v>
      </c>
      <c r="E44" s="26"/>
      <c r="F44" s="123" t="s">
        <v>1351</v>
      </c>
      <c r="G44" s="123"/>
      <c r="H44" s="51"/>
      <c r="I44" s="52"/>
    </row>
    <row r="45" spans="1:9" s="53" customFormat="1" ht="37.5">
      <c r="A45" s="24">
        <v>46044</v>
      </c>
      <c r="B45" s="64" t="s">
        <v>1189</v>
      </c>
      <c r="C45" s="25">
        <v>349</v>
      </c>
      <c r="D45" s="64" t="s">
        <v>929</v>
      </c>
      <c r="E45" s="26"/>
      <c r="F45" s="123" t="s">
        <v>1350</v>
      </c>
      <c r="G45" s="123"/>
      <c r="H45" s="51"/>
      <c r="I45" s="52"/>
    </row>
    <row r="46" spans="1:9" s="53" customFormat="1" ht="37.5">
      <c r="A46" s="24">
        <v>46043</v>
      </c>
      <c r="B46" s="64" t="s">
        <v>1190</v>
      </c>
      <c r="C46" s="25">
        <v>851</v>
      </c>
      <c r="D46" s="64" t="s">
        <v>72</v>
      </c>
      <c r="E46" s="26"/>
      <c r="F46" s="123" t="s">
        <v>1348</v>
      </c>
      <c r="G46" s="123"/>
      <c r="H46" s="51"/>
      <c r="I46" s="52"/>
    </row>
    <row r="47" spans="1:9" s="53" customFormat="1">
      <c r="A47" s="24">
        <v>46043</v>
      </c>
      <c r="B47" s="64" t="s">
        <v>1183</v>
      </c>
      <c r="C47" s="25">
        <v>851</v>
      </c>
      <c r="D47" s="64" t="s">
        <v>72</v>
      </c>
      <c r="E47" s="26"/>
      <c r="F47" s="123" t="s">
        <v>1348</v>
      </c>
      <c r="G47" s="123"/>
      <c r="H47" s="51"/>
      <c r="I47" s="52"/>
    </row>
    <row r="48" spans="1:9" s="53" customFormat="1">
      <c r="A48" s="24">
        <v>46042</v>
      </c>
      <c r="B48" s="64" t="s">
        <v>1183</v>
      </c>
      <c r="C48" s="25">
        <v>994</v>
      </c>
      <c r="D48" s="64" t="s">
        <v>937</v>
      </c>
      <c r="E48" s="26">
        <v>1</v>
      </c>
      <c r="F48" s="123" t="s">
        <v>1347</v>
      </c>
      <c r="G48" s="123"/>
      <c r="H48" s="51"/>
      <c r="I48" s="52"/>
    </row>
    <row r="49" spans="1:9" s="53" customFormat="1">
      <c r="A49" s="24">
        <v>46041</v>
      </c>
      <c r="B49" s="64" t="s">
        <v>1188</v>
      </c>
      <c r="C49" s="25">
        <v>192</v>
      </c>
      <c r="D49" s="64" t="s">
        <v>48</v>
      </c>
      <c r="E49" s="26">
        <v>1</v>
      </c>
      <c r="F49" s="123" t="s">
        <v>1298</v>
      </c>
      <c r="G49" s="123"/>
      <c r="H49" s="51"/>
      <c r="I49" s="52"/>
    </row>
    <row r="50" spans="1:9" s="53" customFormat="1">
      <c r="A50" s="24">
        <v>46037</v>
      </c>
      <c r="B50" s="64" t="s">
        <v>1188</v>
      </c>
      <c r="C50" s="25">
        <v>851</v>
      </c>
      <c r="D50" s="64" t="s">
        <v>72</v>
      </c>
      <c r="E50" s="26"/>
      <c r="F50" s="123" t="s">
        <v>1259</v>
      </c>
      <c r="G50" s="123"/>
      <c r="H50" s="51"/>
      <c r="I50" s="52"/>
    </row>
    <row r="51" spans="1:9" s="53" customFormat="1" ht="37.5">
      <c r="A51" s="24">
        <v>46035</v>
      </c>
      <c r="B51" s="64" t="s">
        <v>1185</v>
      </c>
      <c r="C51" s="25">
        <v>982</v>
      </c>
      <c r="D51" s="64" t="s">
        <v>892</v>
      </c>
      <c r="E51" s="26"/>
      <c r="F51" s="123" t="s">
        <v>1343</v>
      </c>
      <c r="G51" s="123"/>
      <c r="H51" s="51"/>
      <c r="I51" s="52"/>
    </row>
    <row r="52" spans="1:9" s="53" customFormat="1" ht="37.5">
      <c r="A52" s="24">
        <v>46034</v>
      </c>
      <c r="B52" s="64" t="s">
        <v>1185</v>
      </c>
      <c r="C52" s="25">
        <v>279</v>
      </c>
      <c r="D52" s="64" t="s">
        <v>716</v>
      </c>
      <c r="E52" s="26"/>
      <c r="F52" s="123" t="s">
        <v>1342</v>
      </c>
      <c r="G52" s="123"/>
      <c r="H52" s="51"/>
      <c r="I52" s="52"/>
    </row>
    <row r="53" spans="1:9" s="53" customFormat="1" ht="37.5">
      <c r="A53" s="24">
        <v>46034</v>
      </c>
      <c r="B53" s="64" t="s">
        <v>1186</v>
      </c>
      <c r="C53" s="25">
        <v>851</v>
      </c>
      <c r="D53" s="64" t="s">
        <v>72</v>
      </c>
      <c r="E53" s="26"/>
      <c r="F53" s="123" t="s">
        <v>1341</v>
      </c>
      <c r="G53" s="123"/>
      <c r="H53" s="51"/>
      <c r="I53" s="52"/>
    </row>
    <row r="54" spans="1:9" s="53" customFormat="1">
      <c r="A54" s="141">
        <v>46030</v>
      </c>
      <c r="B54" s="142" t="s">
        <v>1198</v>
      </c>
      <c r="C54" s="143">
        <v>965</v>
      </c>
      <c r="D54" s="142" t="s">
        <v>819</v>
      </c>
      <c r="E54" s="144"/>
      <c r="F54" s="145" t="s">
        <v>1340</v>
      </c>
      <c r="G54" s="145"/>
      <c r="H54" s="146" t="s">
        <v>1329</v>
      </c>
      <c r="I54" s="147"/>
    </row>
    <row r="55" spans="1:9" s="53" customFormat="1">
      <c r="A55" s="141">
        <v>46029</v>
      </c>
      <c r="B55" s="142" t="s">
        <v>1198</v>
      </c>
      <c r="C55" s="143">
        <v>212</v>
      </c>
      <c r="D55" s="142" t="s">
        <v>90</v>
      </c>
      <c r="E55" s="144"/>
      <c r="F55" s="145" t="s">
        <v>1339</v>
      </c>
      <c r="G55" s="145"/>
      <c r="H55" s="146" t="s">
        <v>1329</v>
      </c>
      <c r="I55" s="147"/>
    </row>
    <row r="56" spans="1:9" s="53" customFormat="1">
      <c r="A56" s="141">
        <v>46029</v>
      </c>
      <c r="B56" s="142" t="s">
        <v>1183</v>
      </c>
      <c r="C56" s="143">
        <v>553</v>
      </c>
      <c r="D56" s="142" t="s">
        <v>847</v>
      </c>
      <c r="E56" s="144"/>
      <c r="F56" s="145" t="s">
        <v>1338</v>
      </c>
      <c r="G56" s="145"/>
      <c r="H56" s="146" t="s">
        <v>1329</v>
      </c>
      <c r="I56" s="148">
        <v>46030</v>
      </c>
    </row>
    <row r="57" spans="1:9" s="53" customFormat="1" ht="30">
      <c r="A57" s="132">
        <v>46021</v>
      </c>
      <c r="B57" s="133" t="s">
        <v>1190</v>
      </c>
      <c r="C57" s="134">
        <v>1094</v>
      </c>
      <c r="D57" s="133" t="s">
        <v>696</v>
      </c>
      <c r="E57" s="135"/>
      <c r="F57" s="136" t="s">
        <v>1337</v>
      </c>
      <c r="G57" s="136"/>
      <c r="H57" s="137" t="s">
        <v>1329</v>
      </c>
      <c r="I57" s="138">
        <v>46024</v>
      </c>
    </row>
    <row r="58" spans="1:9" s="53" customFormat="1" ht="30">
      <c r="A58" s="132">
        <v>46021</v>
      </c>
      <c r="B58" s="133" t="s">
        <v>1190</v>
      </c>
      <c r="C58" s="134">
        <v>926</v>
      </c>
      <c r="D58" s="133" t="s">
        <v>554</v>
      </c>
      <c r="E58" s="135"/>
      <c r="F58" s="136" t="s">
        <v>1336</v>
      </c>
      <c r="G58" s="136"/>
      <c r="H58" s="137" t="s">
        <v>1329</v>
      </c>
      <c r="I58" s="138">
        <v>46027</v>
      </c>
    </row>
    <row r="59" spans="1:9" s="53" customFormat="1" ht="30">
      <c r="A59" s="132">
        <v>46020</v>
      </c>
      <c r="B59" s="133" t="s">
        <v>1190</v>
      </c>
      <c r="C59" s="134">
        <v>746</v>
      </c>
      <c r="D59" s="133" t="s">
        <v>666</v>
      </c>
      <c r="E59" s="135"/>
      <c r="F59" s="136" t="s">
        <v>1336</v>
      </c>
      <c r="G59" s="136"/>
      <c r="H59" s="137" t="s">
        <v>1329</v>
      </c>
      <c r="I59" s="138">
        <v>46028</v>
      </c>
    </row>
    <row r="60" spans="1:9" s="53" customFormat="1" ht="30">
      <c r="A60" s="132">
        <v>46020</v>
      </c>
      <c r="B60" s="133" t="s">
        <v>1190</v>
      </c>
      <c r="C60" s="134">
        <v>257</v>
      </c>
      <c r="D60" s="133" t="s">
        <v>504</v>
      </c>
      <c r="E60" s="135"/>
      <c r="F60" s="136" t="s">
        <v>1335</v>
      </c>
      <c r="G60" s="136"/>
      <c r="H60" s="137" t="s">
        <v>1329</v>
      </c>
      <c r="I60" s="138">
        <v>46021</v>
      </c>
    </row>
    <row r="61" spans="1:9" s="53" customFormat="1" ht="30">
      <c r="A61" s="132">
        <v>46017</v>
      </c>
      <c r="B61" s="133" t="s">
        <v>1190</v>
      </c>
      <c r="C61" s="134">
        <v>906</v>
      </c>
      <c r="D61" s="133" t="s">
        <v>485</v>
      </c>
      <c r="E61" s="135"/>
      <c r="F61" s="136" t="s">
        <v>1335</v>
      </c>
      <c r="G61" s="136"/>
      <c r="H61" s="137" t="s">
        <v>1329</v>
      </c>
      <c r="I61" s="138">
        <v>46021</v>
      </c>
    </row>
    <row r="62" spans="1:9" s="53" customFormat="1" ht="30">
      <c r="A62" s="132">
        <v>46017</v>
      </c>
      <c r="B62" s="133" t="s">
        <v>1190</v>
      </c>
      <c r="C62" s="134">
        <v>257</v>
      </c>
      <c r="D62" s="133" t="s">
        <v>504</v>
      </c>
      <c r="E62" s="135"/>
      <c r="F62" s="136" t="s">
        <v>1334</v>
      </c>
      <c r="G62" s="136"/>
      <c r="H62" s="137" t="s">
        <v>1329</v>
      </c>
      <c r="I62" s="138">
        <v>46021</v>
      </c>
    </row>
    <row r="63" spans="1:9" s="53" customFormat="1">
      <c r="A63" s="132">
        <v>46015</v>
      </c>
      <c r="B63" s="133" t="s">
        <v>1182</v>
      </c>
      <c r="C63" s="134">
        <v>906</v>
      </c>
      <c r="D63" s="133" t="s">
        <v>485</v>
      </c>
      <c r="E63" s="135"/>
      <c r="F63" s="136" t="s">
        <v>1333</v>
      </c>
      <c r="G63" s="136"/>
      <c r="H63" s="137" t="s">
        <v>1329</v>
      </c>
      <c r="I63" s="138">
        <v>46021</v>
      </c>
    </row>
    <row r="64" spans="1:9" s="53" customFormat="1">
      <c r="A64" s="132">
        <v>46015</v>
      </c>
      <c r="B64" s="133" t="s">
        <v>1182</v>
      </c>
      <c r="C64" s="134">
        <v>899</v>
      </c>
      <c r="D64" s="133" t="s">
        <v>385</v>
      </c>
      <c r="E64" s="135"/>
      <c r="F64" s="139" t="s">
        <v>1332</v>
      </c>
      <c r="G64" s="136"/>
      <c r="H64" s="137" t="s">
        <v>1329</v>
      </c>
      <c r="I64" s="140"/>
    </row>
    <row r="65" spans="1:9" s="53" customFormat="1">
      <c r="A65" s="132">
        <v>46013</v>
      </c>
      <c r="B65" s="133" t="s">
        <v>1183</v>
      </c>
      <c r="C65" s="134">
        <v>1094</v>
      </c>
      <c r="D65" s="133" t="s">
        <v>696</v>
      </c>
      <c r="E65" s="135"/>
      <c r="F65" s="139" t="s">
        <v>1331</v>
      </c>
      <c r="G65" s="136"/>
      <c r="H65" s="137" t="s">
        <v>1329</v>
      </c>
      <c r="I65" s="138">
        <v>46024</v>
      </c>
    </row>
    <row r="66" spans="1:9" s="53" customFormat="1">
      <c r="A66" s="132">
        <v>46010</v>
      </c>
      <c r="B66" s="133" t="s">
        <v>1188</v>
      </c>
      <c r="C66" s="134">
        <v>872</v>
      </c>
      <c r="D66" s="133" t="s">
        <v>1150</v>
      </c>
      <c r="E66" s="135"/>
      <c r="F66" s="139" t="s">
        <v>1326</v>
      </c>
      <c r="G66" s="136"/>
      <c r="H66" s="137" t="s">
        <v>1329</v>
      </c>
      <c r="I66" s="140"/>
    </row>
    <row r="67" spans="1:9" s="53" customFormat="1">
      <c r="A67" s="132">
        <v>46009</v>
      </c>
      <c r="B67" s="133" t="s">
        <v>1188</v>
      </c>
      <c r="C67" s="134">
        <v>926</v>
      </c>
      <c r="D67" s="133" t="s">
        <v>554</v>
      </c>
      <c r="E67" s="135"/>
      <c r="F67" s="139" t="s">
        <v>1325</v>
      </c>
      <c r="G67" s="136"/>
      <c r="H67" s="137" t="s">
        <v>1329</v>
      </c>
      <c r="I67" s="140"/>
    </row>
    <row r="68" spans="1:9" s="53" customFormat="1">
      <c r="A68" s="132">
        <v>46009</v>
      </c>
      <c r="B68" s="133" t="s">
        <v>1188</v>
      </c>
      <c r="C68" s="134">
        <v>257</v>
      </c>
      <c r="D68" s="133" t="s">
        <v>504</v>
      </c>
      <c r="E68" s="135"/>
      <c r="F68" s="139" t="s">
        <v>1324</v>
      </c>
      <c r="G68" s="136"/>
      <c r="H68" s="137" t="s">
        <v>1329</v>
      </c>
      <c r="I68" s="138">
        <v>46024</v>
      </c>
    </row>
    <row r="69" spans="1:9" s="53" customFormat="1">
      <c r="A69" s="132">
        <v>46007</v>
      </c>
      <c r="B69" s="133" t="s">
        <v>1185</v>
      </c>
      <c r="C69" s="134">
        <v>1003</v>
      </c>
      <c r="D69" s="133" t="s">
        <v>989</v>
      </c>
      <c r="E69" s="135"/>
      <c r="F69" s="139" t="s">
        <v>1323</v>
      </c>
      <c r="G69" s="136"/>
      <c r="H69" s="137" t="s">
        <v>1329</v>
      </c>
      <c r="I69" s="140"/>
    </row>
    <row r="70" spans="1:9" s="53" customFormat="1" ht="30">
      <c r="A70" s="132">
        <v>46007</v>
      </c>
      <c r="B70" s="133" t="s">
        <v>1185</v>
      </c>
      <c r="C70" s="134">
        <v>918</v>
      </c>
      <c r="D70" s="133" t="s">
        <v>541</v>
      </c>
      <c r="E70" s="135"/>
      <c r="F70" s="139" t="s">
        <v>1323</v>
      </c>
      <c r="G70" s="136"/>
      <c r="H70" s="137" t="s">
        <v>1329</v>
      </c>
      <c r="I70" s="138">
        <v>46024</v>
      </c>
    </row>
    <row r="71" spans="1:9" s="53" customFormat="1" ht="30">
      <c r="A71" s="132">
        <v>46007</v>
      </c>
      <c r="B71" s="133" t="s">
        <v>1184</v>
      </c>
      <c r="C71" s="134">
        <v>918</v>
      </c>
      <c r="D71" s="133" t="s">
        <v>541</v>
      </c>
      <c r="E71" s="135"/>
      <c r="F71" s="139" t="s">
        <v>1323</v>
      </c>
      <c r="G71" s="136"/>
      <c r="H71" s="137" t="s">
        <v>1329</v>
      </c>
      <c r="I71" s="138">
        <v>46024</v>
      </c>
    </row>
    <row r="72" spans="1:9" s="53" customFormat="1" ht="30">
      <c r="A72" s="132">
        <v>46002</v>
      </c>
      <c r="B72" s="133" t="s">
        <v>1184</v>
      </c>
      <c r="C72" s="134">
        <v>725</v>
      </c>
      <c r="D72" s="133" t="s">
        <v>302</v>
      </c>
      <c r="E72" s="135"/>
      <c r="F72" s="139" t="s">
        <v>1322</v>
      </c>
      <c r="G72" s="136"/>
      <c r="H72" s="137"/>
      <c r="I72" s="140"/>
    </row>
    <row r="73" spans="1:9" s="53" customFormat="1" ht="37.5">
      <c r="A73" s="116">
        <v>46002</v>
      </c>
      <c r="B73" s="117" t="s">
        <v>1184</v>
      </c>
      <c r="C73" s="118">
        <v>1529</v>
      </c>
      <c r="D73" s="117" t="s">
        <v>26</v>
      </c>
      <c r="E73" s="119"/>
      <c r="F73" s="120" t="s">
        <v>1321</v>
      </c>
      <c r="G73" s="176"/>
      <c r="H73" s="121" t="s">
        <v>1328</v>
      </c>
      <c r="I73" s="122" t="s">
        <v>1329</v>
      </c>
    </row>
    <row r="74" spans="1:9" s="53" customFormat="1" ht="37.5">
      <c r="A74" s="116">
        <v>46000</v>
      </c>
      <c r="B74" s="117" t="s">
        <v>1182</v>
      </c>
      <c r="C74" s="118">
        <v>888</v>
      </c>
      <c r="D74" s="117" t="s">
        <v>301</v>
      </c>
      <c r="E74" s="119"/>
      <c r="F74" s="120" t="s">
        <v>1320</v>
      </c>
      <c r="G74" s="176"/>
      <c r="H74" s="121" t="s">
        <v>1328</v>
      </c>
      <c r="I74" s="122" t="s">
        <v>1329</v>
      </c>
    </row>
    <row r="75" spans="1:9" s="53" customFormat="1" ht="37.5">
      <c r="A75" s="116">
        <v>45988</v>
      </c>
      <c r="B75" s="117" t="s">
        <v>1189</v>
      </c>
      <c r="C75" s="118">
        <v>257</v>
      </c>
      <c r="D75" s="117" t="s">
        <v>504</v>
      </c>
      <c r="E75" s="119"/>
      <c r="F75" s="120" t="s">
        <v>1319</v>
      </c>
      <c r="G75" s="176"/>
      <c r="H75" s="121" t="s">
        <v>1328</v>
      </c>
      <c r="I75" s="122" t="s">
        <v>1329</v>
      </c>
    </row>
    <row r="76" spans="1:9" s="53" customFormat="1">
      <c r="A76" s="116">
        <v>45987</v>
      </c>
      <c r="B76" s="117" t="s">
        <v>1182</v>
      </c>
      <c r="C76" s="118">
        <v>320</v>
      </c>
      <c r="D76" s="117" t="s">
        <v>1064</v>
      </c>
      <c r="E76" s="119"/>
      <c r="F76" s="120" t="s">
        <v>1277</v>
      </c>
      <c r="G76" s="176"/>
      <c r="H76" s="121" t="s">
        <v>1328</v>
      </c>
      <c r="I76" s="122" t="s">
        <v>1329</v>
      </c>
    </row>
    <row r="77" spans="1:9" s="53" customFormat="1" ht="37.5">
      <c r="A77" s="116">
        <v>45987</v>
      </c>
      <c r="B77" s="117" t="s">
        <v>1182</v>
      </c>
      <c r="C77" s="118">
        <v>257</v>
      </c>
      <c r="D77" s="117" t="s">
        <v>504</v>
      </c>
      <c r="E77" s="119"/>
      <c r="F77" s="120" t="s">
        <v>1318</v>
      </c>
      <c r="G77" s="176"/>
      <c r="H77" s="121" t="s">
        <v>1328</v>
      </c>
      <c r="I77" s="122" t="s">
        <v>1329</v>
      </c>
    </row>
    <row r="78" spans="1:9" s="53" customFormat="1">
      <c r="A78" s="116">
        <v>45987</v>
      </c>
      <c r="B78" s="117" t="s">
        <v>1182</v>
      </c>
      <c r="C78" s="118">
        <v>233</v>
      </c>
      <c r="D78" s="117" t="s">
        <v>217</v>
      </c>
      <c r="E78" s="119"/>
      <c r="F78" s="120" t="s">
        <v>1317</v>
      </c>
      <c r="G78" s="176"/>
      <c r="H78" s="121" t="s">
        <v>1328</v>
      </c>
      <c r="I78" s="122" t="s">
        <v>1329</v>
      </c>
    </row>
    <row r="79" spans="1:9" s="53" customFormat="1">
      <c r="A79" s="116">
        <v>45982</v>
      </c>
      <c r="B79" s="117" t="s">
        <v>1188</v>
      </c>
      <c r="C79" s="118">
        <v>1166</v>
      </c>
      <c r="D79" s="117" t="s">
        <v>1138</v>
      </c>
      <c r="E79" s="119"/>
      <c r="F79" s="120" t="s">
        <v>1316</v>
      </c>
      <c r="G79" s="176"/>
      <c r="H79" s="121" t="s">
        <v>1328</v>
      </c>
      <c r="I79" s="122" t="s">
        <v>1329</v>
      </c>
    </row>
    <row r="80" spans="1:9" s="53" customFormat="1">
      <c r="A80" s="116">
        <v>45982</v>
      </c>
      <c r="B80" s="117" t="s">
        <v>1188</v>
      </c>
      <c r="C80" s="118">
        <v>1138</v>
      </c>
      <c r="D80" s="117" t="s">
        <v>564</v>
      </c>
      <c r="E80" s="119"/>
      <c r="F80" s="120" t="s">
        <v>1315</v>
      </c>
      <c r="G80" s="176"/>
      <c r="H80" s="121" t="s">
        <v>1328</v>
      </c>
      <c r="I80" s="122" t="s">
        <v>1329</v>
      </c>
    </row>
    <row r="81" spans="1:9" s="53" customFormat="1">
      <c r="A81" s="116">
        <v>45982</v>
      </c>
      <c r="B81" s="117" t="s">
        <v>1188</v>
      </c>
      <c r="C81" s="118">
        <v>1056</v>
      </c>
      <c r="D81" s="117" t="s">
        <v>1092</v>
      </c>
      <c r="E81" s="119"/>
      <c r="F81" s="120" t="s">
        <v>1303</v>
      </c>
      <c r="G81" s="176"/>
      <c r="H81" s="121" t="s">
        <v>1328</v>
      </c>
      <c r="I81" s="122" t="s">
        <v>1329</v>
      </c>
    </row>
    <row r="82" spans="1:9" s="53" customFormat="1" ht="37.5">
      <c r="A82" s="116">
        <v>45981</v>
      </c>
      <c r="B82" s="117" t="s">
        <v>1188</v>
      </c>
      <c r="C82" s="118">
        <v>257</v>
      </c>
      <c r="D82" s="117" t="s">
        <v>504</v>
      </c>
      <c r="E82" s="119"/>
      <c r="F82" s="120" t="s">
        <v>1314</v>
      </c>
      <c r="G82" s="176"/>
      <c r="H82" s="121" t="s">
        <v>1328</v>
      </c>
      <c r="I82" s="122" t="s">
        <v>1329</v>
      </c>
    </row>
    <row r="83" spans="1:9" s="53" customFormat="1" ht="37.5">
      <c r="A83" s="116">
        <v>45979</v>
      </c>
      <c r="B83" s="117" t="s">
        <v>1185</v>
      </c>
      <c r="C83" s="118">
        <v>1183</v>
      </c>
      <c r="D83" s="117" t="s">
        <v>89</v>
      </c>
      <c r="E83" s="119"/>
      <c r="F83" s="120" t="s">
        <v>1312</v>
      </c>
      <c r="G83" s="176"/>
      <c r="H83" s="121" t="s">
        <v>1328</v>
      </c>
      <c r="I83" s="122" t="s">
        <v>1329</v>
      </c>
    </row>
    <row r="84" spans="1:9" s="53" customFormat="1" ht="37.5">
      <c r="A84" s="116">
        <v>45979</v>
      </c>
      <c r="B84" s="117" t="s">
        <v>1185</v>
      </c>
      <c r="C84" s="118">
        <v>1104</v>
      </c>
      <c r="D84" s="117" t="s">
        <v>58</v>
      </c>
      <c r="E84" s="119"/>
      <c r="F84" s="120" t="s">
        <v>1311</v>
      </c>
      <c r="G84" s="176"/>
      <c r="H84" s="121" t="s">
        <v>1328</v>
      </c>
      <c r="I84" s="122" t="s">
        <v>1329</v>
      </c>
    </row>
    <row r="85" spans="1:9" s="53" customFormat="1" ht="37.5">
      <c r="A85" s="116">
        <v>45979</v>
      </c>
      <c r="B85" s="117" t="s">
        <v>1185</v>
      </c>
      <c r="C85" s="118">
        <v>190</v>
      </c>
      <c r="D85" s="117" t="s">
        <v>45</v>
      </c>
      <c r="E85" s="119"/>
      <c r="F85" s="120" t="s">
        <v>1286</v>
      </c>
      <c r="G85" s="176"/>
      <c r="H85" s="121" t="s">
        <v>1328</v>
      </c>
      <c r="I85" s="122" t="s">
        <v>1329</v>
      </c>
    </row>
    <row r="86" spans="1:9" s="53" customFormat="1">
      <c r="A86" s="116">
        <v>45974</v>
      </c>
      <c r="B86" s="117" t="s">
        <v>1198</v>
      </c>
      <c r="C86" s="118">
        <v>212</v>
      </c>
      <c r="D86" s="117" t="s">
        <v>90</v>
      </c>
      <c r="E86" s="119"/>
      <c r="F86" s="120" t="s">
        <v>1310</v>
      </c>
      <c r="G86" s="176"/>
      <c r="H86" s="121" t="s">
        <v>1328</v>
      </c>
      <c r="I86" s="122" t="s">
        <v>1329</v>
      </c>
    </row>
    <row r="87" spans="1:9" s="53" customFormat="1">
      <c r="A87" s="116">
        <f ca="1">TODAY()</f>
        <v>46146</v>
      </c>
      <c r="B87" s="117" t="s">
        <v>1183</v>
      </c>
      <c r="C87" s="118">
        <v>1104</v>
      </c>
      <c r="D87" s="117" t="s">
        <v>1280</v>
      </c>
      <c r="E87" s="119"/>
      <c r="F87" s="120" t="s">
        <v>1281</v>
      </c>
      <c r="G87" s="176"/>
      <c r="H87" s="121" t="s">
        <v>1328</v>
      </c>
      <c r="I87" s="122" t="s">
        <v>1329</v>
      </c>
    </row>
    <row r="88" spans="1:9" s="53" customFormat="1" ht="37.5">
      <c r="A88" s="116">
        <v>45973</v>
      </c>
      <c r="B88" s="117" t="s">
        <v>1184</v>
      </c>
      <c r="C88" s="118">
        <v>995</v>
      </c>
      <c r="D88" s="117" t="s">
        <v>936</v>
      </c>
      <c r="E88" s="119"/>
      <c r="F88" s="120" t="s">
        <v>1309</v>
      </c>
      <c r="G88" s="176"/>
      <c r="H88" s="121" t="s">
        <v>1328</v>
      </c>
      <c r="I88" s="122" t="s">
        <v>1329</v>
      </c>
    </row>
    <row r="89" spans="1:9" s="53" customFormat="1" ht="37.5">
      <c r="A89" s="116">
        <v>45972</v>
      </c>
      <c r="B89" s="117" t="s">
        <v>1184</v>
      </c>
      <c r="C89" s="118">
        <v>218</v>
      </c>
      <c r="D89" s="117" t="s">
        <v>95</v>
      </c>
      <c r="E89" s="119"/>
      <c r="F89" s="120" t="s">
        <v>1308</v>
      </c>
      <c r="G89" s="176"/>
      <c r="H89" s="121" t="s">
        <v>1328</v>
      </c>
      <c r="I89" s="122" t="s">
        <v>1329</v>
      </c>
    </row>
    <row r="90" spans="1:9" s="53" customFormat="1">
      <c r="A90" s="116">
        <v>45971</v>
      </c>
      <c r="B90" s="117" t="s">
        <v>1183</v>
      </c>
      <c r="C90" s="118">
        <v>1084</v>
      </c>
      <c r="D90" s="117" t="s">
        <v>1096</v>
      </c>
      <c r="E90" s="119"/>
      <c r="F90" s="120" t="s">
        <v>1308</v>
      </c>
      <c r="G90" s="176"/>
      <c r="H90" s="121" t="s">
        <v>1328</v>
      </c>
      <c r="I90" s="122" t="s">
        <v>1329</v>
      </c>
    </row>
    <row r="91" spans="1:9" s="53" customFormat="1">
      <c r="A91" s="116">
        <v>45971</v>
      </c>
      <c r="B91" s="117" t="s">
        <v>1183</v>
      </c>
      <c r="C91" s="118">
        <v>320</v>
      </c>
      <c r="D91" s="117" t="s">
        <v>1064</v>
      </c>
      <c r="E91" s="119"/>
      <c r="F91" s="120" t="s">
        <v>1307</v>
      </c>
      <c r="G91" s="176"/>
      <c r="H91" s="121" t="s">
        <v>1328</v>
      </c>
      <c r="I91" s="122" t="s">
        <v>1329</v>
      </c>
    </row>
    <row r="92" spans="1:9" s="53" customFormat="1">
      <c r="A92" s="116">
        <v>45971</v>
      </c>
      <c r="B92" s="117" t="s">
        <v>1183</v>
      </c>
      <c r="C92" s="118">
        <v>289</v>
      </c>
      <c r="D92" s="117" t="s">
        <v>835</v>
      </c>
      <c r="E92" s="119"/>
      <c r="F92" s="120" t="s">
        <v>1306</v>
      </c>
      <c r="G92" s="176"/>
      <c r="H92" s="121" t="s">
        <v>1328</v>
      </c>
      <c r="I92" s="122" t="s">
        <v>1329</v>
      </c>
    </row>
    <row r="93" spans="1:9" s="53" customFormat="1" ht="37.5">
      <c r="A93" s="116">
        <v>45971</v>
      </c>
      <c r="B93" s="117" t="s">
        <v>1182</v>
      </c>
      <c r="C93" s="118">
        <v>918</v>
      </c>
      <c r="D93" s="117" t="s">
        <v>541</v>
      </c>
      <c r="E93" s="119"/>
      <c r="F93" s="120" t="s">
        <v>1305</v>
      </c>
      <c r="G93" s="176"/>
      <c r="H93" s="121" t="s">
        <v>1328</v>
      </c>
      <c r="I93" s="122" t="s">
        <v>1329</v>
      </c>
    </row>
    <row r="94" spans="1:9" s="53" customFormat="1">
      <c r="A94" s="116">
        <v>45971</v>
      </c>
      <c r="B94" s="117" t="s">
        <v>1182</v>
      </c>
      <c r="C94" s="118">
        <v>899</v>
      </c>
      <c r="D94" s="117" t="s">
        <v>385</v>
      </c>
      <c r="E94" s="119"/>
      <c r="F94" s="120" t="s">
        <v>1304</v>
      </c>
      <c r="G94" s="176"/>
      <c r="H94" s="121" t="s">
        <v>1328</v>
      </c>
      <c r="I94" s="122" t="s">
        <v>1329</v>
      </c>
    </row>
    <row r="95" spans="1:9" s="53" customFormat="1">
      <c r="A95" s="116">
        <v>45968</v>
      </c>
      <c r="B95" s="117" t="s">
        <v>1182</v>
      </c>
      <c r="C95" s="118">
        <v>289</v>
      </c>
      <c r="D95" s="117" t="s">
        <v>835</v>
      </c>
      <c r="E95" s="119"/>
      <c r="F95" s="120" t="s">
        <v>1303</v>
      </c>
      <c r="G95" s="176"/>
      <c r="H95" s="121" t="s">
        <v>1328</v>
      </c>
      <c r="I95" s="122" t="s">
        <v>1329</v>
      </c>
    </row>
    <row r="96" spans="1:9" s="53" customFormat="1" ht="37.5">
      <c r="A96" s="116">
        <v>45968</v>
      </c>
      <c r="B96" s="117" t="s">
        <v>1182</v>
      </c>
      <c r="C96" s="118">
        <v>255</v>
      </c>
      <c r="D96" s="117" t="s">
        <v>501</v>
      </c>
      <c r="E96" s="119"/>
      <c r="F96" s="120" t="s">
        <v>1290</v>
      </c>
      <c r="G96" s="176"/>
      <c r="H96" s="121" t="s">
        <v>1328</v>
      </c>
      <c r="I96" s="122" t="s">
        <v>1329</v>
      </c>
    </row>
    <row r="97" spans="1:9" s="53" customFormat="1">
      <c r="A97" s="116">
        <v>45968</v>
      </c>
      <c r="B97" s="117" t="s">
        <v>1182</v>
      </c>
      <c r="C97" s="118">
        <v>233</v>
      </c>
      <c r="D97" s="117" t="s">
        <v>217</v>
      </c>
      <c r="E97" s="119"/>
      <c r="F97" s="120" t="s">
        <v>1290</v>
      </c>
      <c r="G97" s="176"/>
      <c r="H97" s="121" t="s">
        <v>1328</v>
      </c>
      <c r="I97" s="122" t="s">
        <v>1329</v>
      </c>
    </row>
    <row r="98" spans="1:9" s="53" customFormat="1">
      <c r="A98" s="24">
        <v>45966</v>
      </c>
      <c r="B98" s="64" t="s">
        <v>1194</v>
      </c>
      <c r="C98" s="25">
        <v>1104</v>
      </c>
      <c r="D98" s="64" t="s">
        <v>58</v>
      </c>
      <c r="E98" s="26"/>
      <c r="F98" s="35" t="s">
        <v>1302</v>
      </c>
      <c r="G98" s="123"/>
      <c r="H98" s="121" t="s">
        <v>1328</v>
      </c>
      <c r="I98" s="122" t="s">
        <v>1329</v>
      </c>
    </row>
    <row r="99" spans="1:9" s="53" customFormat="1">
      <c r="A99" s="24">
        <v>45966</v>
      </c>
      <c r="B99" s="64" t="s">
        <v>1192</v>
      </c>
      <c r="C99" s="25">
        <v>248</v>
      </c>
      <c r="D99" s="64" t="s">
        <v>273</v>
      </c>
      <c r="E99" s="26"/>
      <c r="F99" s="35" t="s">
        <v>1301</v>
      </c>
      <c r="G99" s="123"/>
      <c r="H99" s="121" t="s">
        <v>1328</v>
      </c>
      <c r="I99" s="122" t="s">
        <v>1329</v>
      </c>
    </row>
    <row r="100" spans="1:9" s="53" customFormat="1">
      <c r="A100" s="24">
        <v>45966</v>
      </c>
      <c r="B100" s="64" t="s">
        <v>1192</v>
      </c>
      <c r="C100" s="25">
        <v>872</v>
      </c>
      <c r="D100" s="64" t="s">
        <v>1150</v>
      </c>
      <c r="E100" s="26"/>
      <c r="F100" s="35" t="s">
        <v>1300</v>
      </c>
      <c r="G100" s="123"/>
      <c r="H100" s="121" t="s">
        <v>1328</v>
      </c>
      <c r="I100" s="122" t="s">
        <v>1329</v>
      </c>
    </row>
    <row r="101" spans="1:9" s="53" customFormat="1">
      <c r="A101" s="24">
        <v>45966</v>
      </c>
      <c r="B101" s="64" t="s">
        <v>1191</v>
      </c>
      <c r="C101" s="25">
        <v>1166</v>
      </c>
      <c r="D101" s="64" t="s">
        <v>1138</v>
      </c>
      <c r="E101" s="26"/>
      <c r="F101" s="35" t="s">
        <v>1298</v>
      </c>
      <c r="G101" s="123"/>
      <c r="H101" s="121" t="s">
        <v>1328</v>
      </c>
      <c r="I101" s="122" t="s">
        <v>1329</v>
      </c>
    </row>
    <row r="102" spans="1:9" s="53" customFormat="1">
      <c r="A102" s="24">
        <v>45965</v>
      </c>
      <c r="B102" s="64" t="s">
        <v>1191</v>
      </c>
      <c r="C102" s="25">
        <v>247</v>
      </c>
      <c r="D102" s="64" t="s">
        <v>272</v>
      </c>
      <c r="E102" s="26"/>
      <c r="F102" s="35" t="s">
        <v>1288</v>
      </c>
      <c r="G102" s="123"/>
      <c r="H102" s="121" t="s">
        <v>1328</v>
      </c>
      <c r="I102" s="122" t="s">
        <v>1329</v>
      </c>
    </row>
    <row r="103" spans="1:9" s="53" customFormat="1" ht="37.5">
      <c r="A103" s="24">
        <v>45965</v>
      </c>
      <c r="B103" s="64" t="s">
        <v>1191</v>
      </c>
      <c r="C103" s="25">
        <v>256</v>
      </c>
      <c r="D103" s="64" t="s">
        <v>503</v>
      </c>
      <c r="E103" s="26"/>
      <c r="F103" s="35" t="s">
        <v>1297</v>
      </c>
      <c r="G103" s="123"/>
      <c r="H103" s="121" t="s">
        <v>1328</v>
      </c>
      <c r="I103" s="122" t="s">
        <v>1329</v>
      </c>
    </row>
    <row r="104" spans="1:9" s="53" customFormat="1">
      <c r="A104" s="24">
        <v>45965</v>
      </c>
      <c r="B104" s="64" t="s">
        <v>1191</v>
      </c>
      <c r="C104" s="25">
        <v>233</v>
      </c>
      <c r="D104" s="64" t="s">
        <v>217</v>
      </c>
      <c r="E104" s="26"/>
      <c r="F104" s="35" t="s">
        <v>1297</v>
      </c>
      <c r="G104" s="123"/>
      <c r="H104" s="121" t="s">
        <v>1328</v>
      </c>
      <c r="I104" s="122" t="s">
        <v>1329</v>
      </c>
    </row>
    <row r="105" spans="1:9" s="53" customFormat="1" ht="37.5">
      <c r="A105" s="24">
        <v>45965</v>
      </c>
      <c r="B105" s="64" t="s">
        <v>1189</v>
      </c>
      <c r="C105" s="25">
        <v>872</v>
      </c>
      <c r="D105" s="64" t="s">
        <v>1150</v>
      </c>
      <c r="E105" s="26"/>
      <c r="F105" s="35" t="s">
        <v>1297</v>
      </c>
      <c r="G105" s="123"/>
      <c r="H105" s="121" t="s">
        <v>1328</v>
      </c>
      <c r="I105" s="122" t="s">
        <v>1329</v>
      </c>
    </row>
    <row r="106" spans="1:9" s="53" customFormat="1" ht="37.5">
      <c r="A106" s="24">
        <v>45965</v>
      </c>
      <c r="B106" s="64" t="s">
        <v>1189</v>
      </c>
      <c r="C106" s="25">
        <v>1166</v>
      </c>
      <c r="D106" s="64" t="s">
        <v>1138</v>
      </c>
      <c r="E106" s="26"/>
      <c r="F106" s="35" t="s">
        <v>1296</v>
      </c>
      <c r="G106" s="123"/>
      <c r="H106" s="121" t="s">
        <v>1328</v>
      </c>
      <c r="I106" s="122" t="s">
        <v>1329</v>
      </c>
    </row>
    <row r="107" spans="1:9" s="53" customFormat="1" ht="37.5">
      <c r="A107" s="24">
        <v>45964</v>
      </c>
      <c r="B107" s="64" t="s">
        <v>1189</v>
      </c>
      <c r="C107" s="25">
        <v>1250</v>
      </c>
      <c r="D107" s="64" t="s">
        <v>817</v>
      </c>
      <c r="E107" s="26"/>
      <c r="F107" s="35" t="s">
        <v>1295</v>
      </c>
      <c r="G107" s="123"/>
      <c r="H107" s="121" t="s">
        <v>1328</v>
      </c>
      <c r="I107" s="122" t="s">
        <v>1329</v>
      </c>
    </row>
    <row r="108" spans="1:9" s="53" customFormat="1" ht="37.5">
      <c r="A108" s="24">
        <v>45964</v>
      </c>
      <c r="B108" s="64" t="s">
        <v>1189</v>
      </c>
      <c r="C108" s="25">
        <v>885</v>
      </c>
      <c r="D108" s="64" t="s">
        <v>296</v>
      </c>
      <c r="E108" s="26"/>
      <c r="F108" s="35" t="s">
        <v>1295</v>
      </c>
      <c r="G108" s="123"/>
      <c r="H108" s="121" t="s">
        <v>1328</v>
      </c>
      <c r="I108" s="122" t="s">
        <v>1329</v>
      </c>
    </row>
    <row r="109" spans="1:9" s="53" customFormat="1" ht="37.5">
      <c r="A109" s="24">
        <v>45964</v>
      </c>
      <c r="B109" s="64" t="s">
        <v>1189</v>
      </c>
      <c r="C109" s="25">
        <v>1105</v>
      </c>
      <c r="D109" s="64" t="s">
        <v>60</v>
      </c>
      <c r="E109" s="26"/>
      <c r="F109" s="35" t="s">
        <v>1294</v>
      </c>
      <c r="G109" s="123"/>
      <c r="H109" s="121" t="s">
        <v>1328</v>
      </c>
      <c r="I109" s="122" t="s">
        <v>1329</v>
      </c>
    </row>
    <row r="110" spans="1:9" s="53" customFormat="1" ht="37.5">
      <c r="A110" s="24">
        <v>45964</v>
      </c>
      <c r="B110" s="64" t="s">
        <v>1189</v>
      </c>
      <c r="C110" s="25">
        <v>1104</v>
      </c>
      <c r="D110" s="64" t="s">
        <v>58</v>
      </c>
      <c r="E110" s="26"/>
      <c r="F110" s="35" t="s">
        <v>1293</v>
      </c>
      <c r="G110" s="123"/>
      <c r="H110" s="121" t="s">
        <v>1328</v>
      </c>
      <c r="I110" s="122" t="s">
        <v>1329</v>
      </c>
    </row>
    <row r="111" spans="1:9" s="53" customFormat="1" ht="37.5">
      <c r="A111" s="24">
        <v>45964</v>
      </c>
      <c r="B111" s="64" t="s">
        <v>1189</v>
      </c>
      <c r="C111" s="25">
        <v>1084</v>
      </c>
      <c r="D111" s="64" t="s">
        <v>1096</v>
      </c>
      <c r="E111" s="26"/>
      <c r="F111" s="35" t="s">
        <v>1292</v>
      </c>
      <c r="G111" s="123"/>
      <c r="H111" s="121" t="s">
        <v>1328</v>
      </c>
      <c r="I111" s="122" t="s">
        <v>1329</v>
      </c>
    </row>
    <row r="112" spans="1:9" s="53" customFormat="1" ht="37.5">
      <c r="A112" s="24">
        <v>45964</v>
      </c>
      <c r="B112" s="64" t="s">
        <v>1189</v>
      </c>
      <c r="C112" s="25">
        <v>1216</v>
      </c>
      <c r="D112" s="64" t="s">
        <v>910</v>
      </c>
      <c r="E112" s="26"/>
      <c r="F112" s="35" t="s">
        <v>1291</v>
      </c>
      <c r="G112" s="123"/>
      <c r="H112" s="121" t="s">
        <v>1328</v>
      </c>
      <c r="I112" s="122" t="s">
        <v>1329</v>
      </c>
    </row>
    <row r="113" spans="1:9" s="53" customFormat="1" ht="37.5">
      <c r="A113" s="24">
        <v>45964</v>
      </c>
      <c r="B113" s="64" t="s">
        <v>1189</v>
      </c>
      <c r="C113" s="25">
        <v>257</v>
      </c>
      <c r="D113" s="64" t="s">
        <v>504</v>
      </c>
      <c r="E113" s="26"/>
      <c r="F113" s="35" t="s">
        <v>1290</v>
      </c>
      <c r="G113" s="123"/>
      <c r="H113" s="121" t="s">
        <v>1328</v>
      </c>
      <c r="I113" s="122" t="s">
        <v>1329</v>
      </c>
    </row>
    <row r="114" spans="1:9" s="53" customFormat="1" ht="37.5">
      <c r="A114" s="24">
        <v>45964</v>
      </c>
      <c r="B114" s="64" t="s">
        <v>1189</v>
      </c>
      <c r="C114" s="25">
        <v>256</v>
      </c>
      <c r="D114" s="64" t="s">
        <v>503</v>
      </c>
      <c r="E114" s="26"/>
      <c r="F114" s="35" t="s">
        <v>1289</v>
      </c>
      <c r="G114" s="123"/>
      <c r="H114" s="121" t="s">
        <v>1328</v>
      </c>
      <c r="I114" s="122" t="s">
        <v>1329</v>
      </c>
    </row>
    <row r="115" spans="1:9" s="53" customFormat="1" ht="37.5">
      <c r="A115" s="24">
        <v>45964</v>
      </c>
      <c r="B115" s="64" t="s">
        <v>1189</v>
      </c>
      <c r="C115" s="25">
        <v>247</v>
      </c>
      <c r="D115" s="64" t="s">
        <v>272</v>
      </c>
      <c r="E115" s="26"/>
      <c r="F115" s="35" t="s">
        <v>1288</v>
      </c>
      <c r="G115" s="123"/>
      <c r="H115" s="121" t="s">
        <v>1328</v>
      </c>
      <c r="I115" s="122" t="s">
        <v>1329</v>
      </c>
    </row>
    <row r="116" spans="1:9" s="53" customFormat="1" ht="37.5">
      <c r="A116" s="24">
        <v>45964</v>
      </c>
      <c r="B116" s="64" t="s">
        <v>1189</v>
      </c>
      <c r="C116" s="25">
        <v>218</v>
      </c>
      <c r="D116" s="64" t="s">
        <v>95</v>
      </c>
      <c r="E116" s="26"/>
      <c r="F116" s="35" t="s">
        <v>1287</v>
      </c>
      <c r="G116" s="123"/>
      <c r="H116" s="121" t="s">
        <v>1328</v>
      </c>
      <c r="I116" s="122" t="s">
        <v>1329</v>
      </c>
    </row>
    <row r="117" spans="1:9" s="53" customFormat="1" ht="37.5">
      <c r="A117" s="24">
        <v>45960</v>
      </c>
      <c r="B117" s="64" t="s">
        <v>1190</v>
      </c>
      <c r="C117" s="25">
        <v>218</v>
      </c>
      <c r="D117" s="64" t="s">
        <v>95</v>
      </c>
      <c r="E117" s="26"/>
      <c r="F117" s="35" t="s">
        <v>1286</v>
      </c>
      <c r="G117" s="123"/>
      <c r="H117" s="121" t="s">
        <v>1328</v>
      </c>
      <c r="I117" s="122" t="s">
        <v>1329</v>
      </c>
    </row>
    <row r="118" spans="1:9" s="53" customFormat="1" ht="37.5">
      <c r="A118" s="24">
        <v>45959</v>
      </c>
      <c r="B118" s="64" t="s">
        <v>1188</v>
      </c>
      <c r="C118" s="25">
        <v>257</v>
      </c>
      <c r="D118" s="64" t="s">
        <v>504</v>
      </c>
      <c r="E118" s="26">
        <v>15</v>
      </c>
      <c r="F118" s="35" t="s">
        <v>1286</v>
      </c>
      <c r="G118" s="123"/>
      <c r="H118" s="121" t="s">
        <v>1328</v>
      </c>
      <c r="I118" s="122" t="s">
        <v>1329</v>
      </c>
    </row>
    <row r="119" spans="1:9" s="53" customFormat="1" ht="37.5">
      <c r="A119" s="24">
        <v>45959</v>
      </c>
      <c r="B119" s="64" t="s">
        <v>1188</v>
      </c>
      <c r="C119" s="25">
        <v>256</v>
      </c>
      <c r="D119" s="64" t="s">
        <v>503</v>
      </c>
      <c r="E119" s="26">
        <v>15</v>
      </c>
      <c r="F119" s="35" t="s">
        <v>1286</v>
      </c>
      <c r="G119" s="123"/>
      <c r="H119" s="121" t="s">
        <v>1328</v>
      </c>
      <c r="I119" s="122" t="s">
        <v>1329</v>
      </c>
    </row>
    <row r="120" spans="1:9" s="53" customFormat="1" ht="37.5">
      <c r="A120" s="24">
        <v>45959</v>
      </c>
      <c r="B120" s="64" t="s">
        <v>1188</v>
      </c>
      <c r="C120" s="25">
        <v>215</v>
      </c>
      <c r="D120" s="64" t="s">
        <v>91</v>
      </c>
      <c r="E120" s="26">
        <v>15</v>
      </c>
      <c r="F120" s="35" t="s">
        <v>1285</v>
      </c>
      <c r="G120" s="123"/>
      <c r="H120" s="121" t="s">
        <v>1328</v>
      </c>
      <c r="I120" s="122" t="s">
        <v>1329</v>
      </c>
    </row>
    <row r="121" spans="1:9" s="53" customFormat="1">
      <c r="A121" s="24">
        <v>45959</v>
      </c>
      <c r="B121" s="64" t="s">
        <v>1188</v>
      </c>
      <c r="C121" s="25">
        <v>1214</v>
      </c>
      <c r="D121" s="64" t="s">
        <v>583</v>
      </c>
      <c r="E121" s="26">
        <v>15</v>
      </c>
      <c r="F121" s="35" t="s">
        <v>1284</v>
      </c>
      <c r="G121" s="123"/>
      <c r="H121" s="121" t="s">
        <v>1328</v>
      </c>
      <c r="I121" s="122" t="s">
        <v>1329</v>
      </c>
    </row>
    <row r="122" spans="1:9" s="53" customFormat="1" ht="37.5">
      <c r="A122" s="24">
        <v>45958</v>
      </c>
      <c r="B122" s="64" t="s">
        <v>1188</v>
      </c>
      <c r="C122" s="25">
        <v>921</v>
      </c>
      <c r="D122" s="64" t="s">
        <v>545</v>
      </c>
      <c r="E122" s="26">
        <v>4</v>
      </c>
      <c r="F122" s="35" t="s">
        <v>1283</v>
      </c>
      <c r="G122" s="123"/>
      <c r="H122" s="121" t="s">
        <v>1328</v>
      </c>
      <c r="I122" s="122" t="s">
        <v>1329</v>
      </c>
    </row>
    <row r="123" spans="1:9" s="53" customFormat="1">
      <c r="A123" s="24">
        <v>45958</v>
      </c>
      <c r="B123" s="64" t="s">
        <v>1188</v>
      </c>
      <c r="C123" s="25">
        <v>1104</v>
      </c>
      <c r="D123" s="64" t="s">
        <v>58</v>
      </c>
      <c r="E123" s="26">
        <v>4</v>
      </c>
      <c r="F123" s="35" t="s">
        <v>1282</v>
      </c>
      <c r="G123" s="123"/>
      <c r="H123" s="121" t="s">
        <v>1328</v>
      </c>
      <c r="I123" s="122" t="s">
        <v>1329</v>
      </c>
    </row>
    <row r="124" spans="1:9" s="53" customFormat="1" ht="37.5">
      <c r="A124" s="24">
        <v>45957</v>
      </c>
      <c r="B124" s="64" t="s">
        <v>1183</v>
      </c>
      <c r="C124" s="25">
        <v>257</v>
      </c>
      <c r="D124" s="64" t="s">
        <v>504</v>
      </c>
      <c r="E124" s="26">
        <v>4</v>
      </c>
      <c r="F124" s="35" t="s">
        <v>1277</v>
      </c>
      <c r="G124" s="123"/>
      <c r="H124" s="121" t="s">
        <v>1328</v>
      </c>
      <c r="I124" s="122" t="s">
        <v>1329</v>
      </c>
    </row>
    <row r="125" spans="1:9" s="53" customFormat="1" ht="37.5">
      <c r="A125" s="24">
        <v>45957</v>
      </c>
      <c r="B125" s="64" t="s">
        <v>1183</v>
      </c>
      <c r="C125" s="25">
        <v>256</v>
      </c>
      <c r="D125" s="64" t="s">
        <v>503</v>
      </c>
      <c r="E125" s="26">
        <v>4</v>
      </c>
      <c r="F125" s="35" t="s">
        <v>1277</v>
      </c>
      <c r="G125" s="123"/>
      <c r="H125" s="121" t="s">
        <v>1328</v>
      </c>
      <c r="I125" s="122" t="s">
        <v>1329</v>
      </c>
    </row>
    <row r="126" spans="1:9" s="53" customFormat="1">
      <c r="A126" s="24">
        <v>45957</v>
      </c>
      <c r="B126" s="64" t="s">
        <v>1183</v>
      </c>
      <c r="C126" s="25">
        <v>233</v>
      </c>
      <c r="D126" s="64" t="s">
        <v>217</v>
      </c>
      <c r="E126" s="26">
        <v>4</v>
      </c>
      <c r="F126" s="35" t="s">
        <v>1277</v>
      </c>
      <c r="G126" s="123"/>
      <c r="H126" s="121" t="s">
        <v>1328</v>
      </c>
      <c r="I126" s="122" t="s">
        <v>1329</v>
      </c>
    </row>
    <row r="127" spans="1:9" s="53" customFormat="1">
      <c r="A127" s="24">
        <v>45954</v>
      </c>
      <c r="B127" s="64" t="s">
        <v>1182</v>
      </c>
      <c r="C127" s="25">
        <v>314</v>
      </c>
      <c r="D127" s="64" t="s">
        <v>1054</v>
      </c>
      <c r="E127" s="26">
        <v>4</v>
      </c>
      <c r="F127" s="35" t="s">
        <v>1277</v>
      </c>
      <c r="G127" s="123"/>
      <c r="H127" s="121" t="s">
        <v>1328</v>
      </c>
      <c r="I127" s="122" t="s">
        <v>1329</v>
      </c>
    </row>
    <row r="128" spans="1:9" s="53" customFormat="1">
      <c r="A128" s="24">
        <v>45954</v>
      </c>
      <c r="B128" s="64" t="s">
        <v>1182</v>
      </c>
      <c r="C128" s="25">
        <v>1101</v>
      </c>
      <c r="D128" s="64" t="s">
        <v>737</v>
      </c>
      <c r="E128" s="26">
        <v>4</v>
      </c>
      <c r="F128" s="35" t="s">
        <v>1277</v>
      </c>
      <c r="G128" s="123"/>
      <c r="H128" s="121" t="s">
        <v>1328</v>
      </c>
      <c r="I128" s="122" t="s">
        <v>1329</v>
      </c>
    </row>
    <row r="129" spans="1:9" s="53" customFormat="1" ht="37.5">
      <c r="A129" s="24">
        <v>45954</v>
      </c>
      <c r="B129" s="64" t="s">
        <v>1182</v>
      </c>
      <c r="C129" s="25">
        <v>257</v>
      </c>
      <c r="D129" s="64" t="s">
        <v>504</v>
      </c>
      <c r="E129" s="26">
        <v>4</v>
      </c>
      <c r="F129" s="35" t="s">
        <v>1277</v>
      </c>
      <c r="G129" s="123"/>
      <c r="H129" s="121" t="s">
        <v>1328</v>
      </c>
      <c r="I129" s="122" t="s">
        <v>1329</v>
      </c>
    </row>
    <row r="130" spans="1:9" s="53" customFormat="1" ht="37.5">
      <c r="A130" s="24">
        <v>45954</v>
      </c>
      <c r="B130" s="64" t="s">
        <v>1182</v>
      </c>
      <c r="C130" s="25">
        <v>256</v>
      </c>
      <c r="D130" s="64" t="s">
        <v>503</v>
      </c>
      <c r="E130" s="26">
        <v>4</v>
      </c>
      <c r="F130" s="35" t="s">
        <v>1277</v>
      </c>
      <c r="G130" s="123"/>
      <c r="H130" s="121" t="s">
        <v>1328</v>
      </c>
      <c r="I130" s="122" t="s">
        <v>1329</v>
      </c>
    </row>
    <row r="131" spans="1:9" s="53" customFormat="1">
      <c r="A131" s="24">
        <v>45954</v>
      </c>
      <c r="B131" s="64" t="s">
        <v>1182</v>
      </c>
      <c r="C131" s="25">
        <v>233</v>
      </c>
      <c r="D131" s="64" t="s">
        <v>217</v>
      </c>
      <c r="E131" s="26">
        <v>4</v>
      </c>
      <c r="F131" s="35" t="s">
        <v>1277</v>
      </c>
      <c r="G131" s="123"/>
      <c r="H131" s="121" t="s">
        <v>1328</v>
      </c>
      <c r="I131" s="122" t="s">
        <v>1329</v>
      </c>
    </row>
    <row r="132" spans="1:9" s="53" customFormat="1" ht="37.5">
      <c r="A132" s="24">
        <v>45954</v>
      </c>
      <c r="B132" s="64" t="s">
        <v>1182</v>
      </c>
      <c r="C132" s="25">
        <v>215</v>
      </c>
      <c r="D132" s="64" t="s">
        <v>91</v>
      </c>
      <c r="E132" s="26">
        <v>4</v>
      </c>
      <c r="F132" s="35" t="s">
        <v>1277</v>
      </c>
      <c r="G132" s="123"/>
      <c r="H132" s="121" t="s">
        <v>1328</v>
      </c>
      <c r="I132" s="122" t="s">
        <v>1329</v>
      </c>
    </row>
    <row r="133" spans="1:9" s="53" customFormat="1" ht="37.5">
      <c r="A133" s="24">
        <v>45953</v>
      </c>
      <c r="B133" s="64" t="s">
        <v>1184</v>
      </c>
      <c r="C133" s="25">
        <v>1216</v>
      </c>
      <c r="D133" s="64" t="s">
        <v>910</v>
      </c>
      <c r="E133" s="26">
        <v>4</v>
      </c>
      <c r="F133" s="35" t="s">
        <v>1276</v>
      </c>
      <c r="G133" s="123"/>
      <c r="H133" s="121" t="s">
        <v>1328</v>
      </c>
      <c r="I133" s="122" t="s">
        <v>1329</v>
      </c>
    </row>
    <row r="134" spans="1:9" s="53" customFormat="1" ht="37.5">
      <c r="A134" s="24">
        <v>45953</v>
      </c>
      <c r="B134" s="64" t="s">
        <v>1184</v>
      </c>
      <c r="C134" s="25">
        <v>1432</v>
      </c>
      <c r="D134" s="64" t="s">
        <v>708</v>
      </c>
      <c r="E134" s="26">
        <v>4</v>
      </c>
      <c r="F134" s="35" t="s">
        <v>1275</v>
      </c>
      <c r="G134" s="123"/>
      <c r="H134" s="121" t="s">
        <v>1328</v>
      </c>
      <c r="I134" s="122" t="s">
        <v>1329</v>
      </c>
    </row>
    <row r="135" spans="1:9" s="53" customFormat="1" ht="37.5">
      <c r="A135" s="24">
        <v>45952</v>
      </c>
      <c r="B135" s="64" t="s">
        <v>1184</v>
      </c>
      <c r="C135" s="25">
        <v>257</v>
      </c>
      <c r="D135" s="64" t="s">
        <v>504</v>
      </c>
      <c r="E135" s="26"/>
      <c r="F135" s="35" t="s">
        <v>1274</v>
      </c>
      <c r="G135" s="123"/>
      <c r="H135" s="121" t="s">
        <v>1328</v>
      </c>
      <c r="I135" s="122" t="s">
        <v>1329</v>
      </c>
    </row>
    <row r="136" spans="1:9" s="53" customFormat="1" ht="37.5">
      <c r="A136" s="24">
        <v>45952</v>
      </c>
      <c r="B136" s="64" t="s">
        <v>1184</v>
      </c>
      <c r="C136" s="25">
        <v>247</v>
      </c>
      <c r="D136" s="64" t="s">
        <v>272</v>
      </c>
      <c r="E136" s="26"/>
      <c r="F136" s="35" t="s">
        <v>1273</v>
      </c>
      <c r="G136" s="123"/>
      <c r="H136" s="121" t="s">
        <v>1328</v>
      </c>
      <c r="I136" s="122" t="s">
        <v>1329</v>
      </c>
    </row>
    <row r="137" spans="1:9" s="53" customFormat="1" ht="37.5">
      <c r="A137" s="24">
        <v>45952</v>
      </c>
      <c r="B137" s="64" t="s">
        <v>1184</v>
      </c>
      <c r="C137" s="25">
        <v>297</v>
      </c>
      <c r="D137" s="64" t="s">
        <v>573</v>
      </c>
      <c r="E137" s="26"/>
      <c r="F137" s="35" t="s">
        <v>1271</v>
      </c>
      <c r="G137" s="123"/>
      <c r="H137" s="121" t="s">
        <v>1328</v>
      </c>
      <c r="I137" s="122" t="s">
        <v>1329</v>
      </c>
    </row>
    <row r="138" spans="1:9" s="53" customFormat="1" ht="37.5">
      <c r="A138" s="24">
        <v>45952</v>
      </c>
      <c r="B138" s="64" t="s">
        <v>1184</v>
      </c>
      <c r="C138" s="25">
        <v>982</v>
      </c>
      <c r="D138" s="64" t="s">
        <v>892</v>
      </c>
      <c r="E138" s="26"/>
      <c r="F138" s="35" t="s">
        <v>1270</v>
      </c>
      <c r="G138" s="123"/>
      <c r="H138" s="121" t="s">
        <v>1328</v>
      </c>
      <c r="I138" s="122" t="s">
        <v>1329</v>
      </c>
    </row>
    <row r="139" spans="1:9" s="53" customFormat="1" ht="37.5">
      <c r="A139" s="24">
        <v>45951</v>
      </c>
      <c r="B139" s="64" t="s">
        <v>1185</v>
      </c>
      <c r="C139" s="25">
        <v>297</v>
      </c>
      <c r="D139" s="64" t="s">
        <v>573</v>
      </c>
      <c r="E139" s="26"/>
      <c r="F139" s="35" t="s">
        <v>1269</v>
      </c>
      <c r="G139" s="123"/>
      <c r="H139" s="121" t="s">
        <v>1328</v>
      </c>
      <c r="I139" s="122" t="s">
        <v>1329</v>
      </c>
    </row>
    <row r="140" spans="1:9" s="53" customFormat="1" ht="37.5">
      <c r="A140" s="24">
        <v>45950</v>
      </c>
      <c r="B140" s="64" t="s">
        <v>1185</v>
      </c>
      <c r="C140" s="25">
        <v>247</v>
      </c>
      <c r="D140" s="64" t="s">
        <v>272</v>
      </c>
      <c r="E140" s="26"/>
      <c r="F140" s="35" t="s">
        <v>1268</v>
      </c>
      <c r="G140" s="123"/>
      <c r="H140" s="121" t="s">
        <v>1328</v>
      </c>
      <c r="I140" s="122" t="s">
        <v>1329</v>
      </c>
    </row>
    <row r="141" spans="1:9" s="53" customFormat="1" ht="37.5">
      <c r="A141" s="24">
        <v>45950</v>
      </c>
      <c r="B141" s="64" t="s">
        <v>1185</v>
      </c>
      <c r="C141" s="25">
        <v>222</v>
      </c>
      <c r="D141" s="64" t="s">
        <v>178</v>
      </c>
      <c r="E141" s="26"/>
      <c r="F141" s="35" t="s">
        <v>1267</v>
      </c>
      <c r="G141" s="123"/>
      <c r="H141" s="121" t="s">
        <v>1328</v>
      </c>
      <c r="I141" s="122" t="s">
        <v>1329</v>
      </c>
    </row>
    <row r="142" spans="1:9" s="53" customFormat="1" ht="37.5">
      <c r="A142" s="24">
        <v>45950</v>
      </c>
      <c r="B142" s="64" t="s">
        <v>1185</v>
      </c>
      <c r="C142" s="25">
        <v>220</v>
      </c>
      <c r="D142" s="64" t="s">
        <v>162</v>
      </c>
      <c r="E142" s="26"/>
      <c r="F142" s="35" t="s">
        <v>1266</v>
      </c>
      <c r="G142" s="123"/>
      <c r="H142" s="121" t="s">
        <v>1328</v>
      </c>
      <c r="I142" s="122" t="s">
        <v>1329</v>
      </c>
    </row>
    <row r="143" spans="1:9" s="53" customFormat="1" ht="37.5">
      <c r="A143" s="24">
        <v>45947</v>
      </c>
      <c r="B143" s="64" t="s">
        <v>1198</v>
      </c>
      <c r="C143" s="25">
        <v>256</v>
      </c>
      <c r="D143" s="64" t="s">
        <v>503</v>
      </c>
      <c r="E143" s="26"/>
      <c r="F143" s="35"/>
      <c r="G143" s="123"/>
      <c r="H143" s="121" t="s">
        <v>1328</v>
      </c>
      <c r="I143" s="122" t="s">
        <v>1329</v>
      </c>
    </row>
    <row r="144" spans="1:9" s="53" customFormat="1">
      <c r="A144" s="24">
        <v>45947</v>
      </c>
      <c r="B144" s="64" t="s">
        <v>1198</v>
      </c>
      <c r="C144" s="25">
        <v>220</v>
      </c>
      <c r="D144" s="64" t="s">
        <v>162</v>
      </c>
      <c r="E144" s="26"/>
      <c r="F144" s="35"/>
      <c r="G144" s="123"/>
      <c r="H144" s="121" t="s">
        <v>1328</v>
      </c>
      <c r="I144" s="122" t="s">
        <v>1329</v>
      </c>
    </row>
    <row r="145" spans="1:9" s="53" customFormat="1">
      <c r="A145" s="24">
        <v>45947</v>
      </c>
      <c r="B145" s="64" t="s">
        <v>1198</v>
      </c>
      <c r="C145" s="25">
        <v>198</v>
      </c>
      <c r="D145" s="64" t="s">
        <v>64</v>
      </c>
      <c r="E145" s="26"/>
      <c r="F145" s="35"/>
      <c r="G145" s="123"/>
      <c r="H145" s="121" t="s">
        <v>1328</v>
      </c>
      <c r="I145" s="122" t="s">
        <v>1329</v>
      </c>
    </row>
    <row r="146" spans="1:9" s="53" customFormat="1">
      <c r="A146" s="24">
        <v>45946</v>
      </c>
      <c r="B146" s="64" t="s">
        <v>1198</v>
      </c>
      <c r="C146" s="25">
        <v>1250</v>
      </c>
      <c r="D146" s="64" t="s">
        <v>817</v>
      </c>
      <c r="E146" s="26"/>
      <c r="F146" s="35" t="s">
        <v>1264</v>
      </c>
      <c r="G146" s="123"/>
      <c r="H146" s="121" t="s">
        <v>1328</v>
      </c>
      <c r="I146" s="122" t="s">
        <v>1329</v>
      </c>
    </row>
    <row r="147" spans="1:9" s="53" customFormat="1" ht="37.5">
      <c r="A147" s="24">
        <v>45945</v>
      </c>
      <c r="B147" s="64" t="s">
        <v>1198</v>
      </c>
      <c r="C147" s="25">
        <v>858</v>
      </c>
      <c r="D147" s="64" t="s">
        <v>79</v>
      </c>
      <c r="E147" s="26"/>
      <c r="F147" s="35" t="s">
        <v>1263</v>
      </c>
      <c r="G147" s="123"/>
      <c r="H147" s="121" t="s">
        <v>1328</v>
      </c>
      <c r="I147" s="122" t="s">
        <v>1329</v>
      </c>
    </row>
    <row r="148" spans="1:9" s="53" customFormat="1">
      <c r="A148" s="24">
        <v>45945</v>
      </c>
      <c r="B148" s="64" t="s">
        <v>1198</v>
      </c>
      <c r="C148" s="25">
        <v>856</v>
      </c>
      <c r="D148" s="64" t="s">
        <v>77</v>
      </c>
      <c r="E148" s="26"/>
      <c r="F148" s="35" t="s">
        <v>1263</v>
      </c>
      <c r="G148" s="123"/>
      <c r="H148" s="121" t="s">
        <v>1328</v>
      </c>
      <c r="I148" s="122" t="s">
        <v>1329</v>
      </c>
    </row>
    <row r="149" spans="1:9" s="53" customFormat="1">
      <c r="A149" s="24">
        <v>45932</v>
      </c>
      <c r="B149" s="64" t="s">
        <v>1198</v>
      </c>
      <c r="C149" s="25">
        <v>159</v>
      </c>
      <c r="D149" s="64" t="s">
        <v>51</v>
      </c>
      <c r="E149" s="26"/>
      <c r="F149" s="35" t="s">
        <v>1262</v>
      </c>
      <c r="G149" s="123"/>
      <c r="H149" s="121" t="s">
        <v>1328</v>
      </c>
      <c r="I149" s="122" t="s">
        <v>1329</v>
      </c>
    </row>
    <row r="150" spans="1:9" s="53" customFormat="1">
      <c r="A150" s="24">
        <v>45932</v>
      </c>
      <c r="B150" s="64" t="s">
        <v>1198</v>
      </c>
      <c r="C150" s="25">
        <v>159</v>
      </c>
      <c r="D150" s="64" t="s">
        <v>51</v>
      </c>
      <c r="E150" s="26"/>
      <c r="F150" s="35" t="s">
        <v>1262</v>
      </c>
      <c r="G150" s="123"/>
      <c r="H150" s="121" t="s">
        <v>1328</v>
      </c>
      <c r="I150" s="122" t="s">
        <v>1329</v>
      </c>
    </row>
    <row r="151" spans="1:9" s="53" customFormat="1" ht="37.5">
      <c r="A151" s="24">
        <v>45932</v>
      </c>
      <c r="B151" s="64" t="s">
        <v>1183</v>
      </c>
      <c r="C151" s="25">
        <v>256</v>
      </c>
      <c r="D151" s="64" t="s">
        <v>503</v>
      </c>
      <c r="E151" s="26"/>
      <c r="F151" s="35" t="s">
        <v>1261</v>
      </c>
      <c r="G151" s="123"/>
      <c r="H151" s="121" t="s">
        <v>1328</v>
      </c>
      <c r="I151" s="122" t="s">
        <v>1329</v>
      </c>
    </row>
    <row r="152" spans="1:9" s="53" customFormat="1">
      <c r="A152" s="24">
        <v>45932</v>
      </c>
      <c r="B152" s="64" t="s">
        <v>1182</v>
      </c>
      <c r="C152" s="25">
        <v>283</v>
      </c>
      <c r="D152" s="64" t="s">
        <v>804</v>
      </c>
      <c r="E152" s="26"/>
      <c r="F152" s="35" t="s">
        <v>1260</v>
      </c>
      <c r="G152" s="123"/>
      <c r="H152" s="51"/>
      <c r="I152" s="122" t="s">
        <v>1329</v>
      </c>
    </row>
    <row r="153" spans="1:9" s="53" customFormat="1">
      <c r="A153" s="24">
        <v>45932</v>
      </c>
      <c r="B153" s="64" t="s">
        <v>1182</v>
      </c>
      <c r="C153" s="25">
        <v>233</v>
      </c>
      <c r="D153" s="64" t="s">
        <v>217</v>
      </c>
      <c r="E153" s="26"/>
      <c r="F153" s="35" t="s">
        <v>1259</v>
      </c>
      <c r="G153" s="123"/>
      <c r="H153" s="51"/>
      <c r="I153" s="122" t="s">
        <v>1329</v>
      </c>
    </row>
    <row r="154" spans="1:9" s="53" customFormat="1" ht="37.5">
      <c r="A154" s="24">
        <v>45930</v>
      </c>
      <c r="B154" s="64" t="s">
        <v>1194</v>
      </c>
      <c r="C154" s="25">
        <v>1068</v>
      </c>
      <c r="D154" s="64" t="s">
        <v>668</v>
      </c>
      <c r="E154" s="26"/>
      <c r="F154" s="35" t="s">
        <v>1258</v>
      </c>
      <c r="G154" s="123"/>
      <c r="H154" s="51"/>
      <c r="I154" s="122" t="s">
        <v>1329</v>
      </c>
    </row>
    <row r="155" spans="1:9" s="53" customFormat="1">
      <c r="A155" s="24">
        <v>45930</v>
      </c>
      <c r="B155" s="64" t="s">
        <v>1194</v>
      </c>
      <c r="C155" s="25">
        <v>218</v>
      </c>
      <c r="D155" s="64" t="s">
        <v>95</v>
      </c>
      <c r="E155" s="26"/>
      <c r="F155" s="35" t="s">
        <v>1257</v>
      </c>
      <c r="G155" s="123"/>
      <c r="H155" s="51"/>
      <c r="I155" s="122" t="s">
        <v>1329</v>
      </c>
    </row>
    <row r="156" spans="1:9" s="53" customFormat="1">
      <c r="A156" s="24">
        <v>45916</v>
      </c>
      <c r="B156" s="64" t="s">
        <v>1183</v>
      </c>
      <c r="C156" s="25">
        <v>284</v>
      </c>
      <c r="D156" s="64" t="s">
        <v>805</v>
      </c>
      <c r="E156" s="26"/>
      <c r="F156" s="35" t="s">
        <v>1256</v>
      </c>
      <c r="G156" s="123"/>
      <c r="H156" s="51"/>
      <c r="I156" s="52"/>
    </row>
    <row r="157" spans="1:9" s="53" customFormat="1">
      <c r="A157" s="24">
        <v>45916</v>
      </c>
      <c r="B157" s="64" t="s">
        <v>1198</v>
      </c>
      <c r="C157" s="25">
        <v>284</v>
      </c>
      <c r="D157" s="64" t="s">
        <v>805</v>
      </c>
      <c r="E157" s="26"/>
      <c r="F157" s="35" t="s">
        <v>1256</v>
      </c>
      <c r="G157" s="123"/>
      <c r="H157" s="51"/>
      <c r="I157" s="52"/>
    </row>
    <row r="158" spans="1:9" s="53" customFormat="1">
      <c r="A158" s="24">
        <v>45910</v>
      </c>
      <c r="B158" s="64" t="s">
        <v>1198</v>
      </c>
      <c r="C158" s="25">
        <v>1182</v>
      </c>
      <c r="D158" s="64" t="s">
        <v>942</v>
      </c>
      <c r="E158" s="26"/>
      <c r="F158" s="35" t="s">
        <v>1255</v>
      </c>
      <c r="G158" s="123"/>
      <c r="H158" s="51"/>
      <c r="I158" s="52"/>
    </row>
    <row r="159" spans="1:9" s="53" customFormat="1">
      <c r="A159" s="24">
        <v>45910</v>
      </c>
      <c r="B159" s="64" t="s">
        <v>1198</v>
      </c>
      <c r="C159" s="25">
        <v>220</v>
      </c>
      <c r="D159" s="64" t="s">
        <v>162</v>
      </c>
      <c r="E159" s="26"/>
      <c r="F159" s="35" t="s">
        <v>1254</v>
      </c>
      <c r="G159" s="123"/>
      <c r="H159" s="51"/>
      <c r="I159" s="52"/>
    </row>
    <row r="160" spans="1:9" ht="49.5" customHeight="1"/>
    <row r="161" ht="49.5" customHeight="1"/>
  </sheetData>
  <mergeCells count="1">
    <mergeCell ref="A2:F2"/>
  </mergeCells>
  <dataValidations count="1">
    <dataValidation type="date" allowBlank="1" showInputMessage="1" showErrorMessage="1" sqref="A4:A159" xr:uid="{DC228A47-0264-4F92-9BD4-EB29FE26579D}">
      <formula1>29221</formula1>
      <formula2>398117</formula2>
    </dataValidation>
  </dataValidations>
  <pageMargins left="0.7" right="0.7" top="0.75" bottom="0.75" header="0.3" footer="0.3"/>
  <pageSetup paperSize="281" scale="23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5A729-8C03-426A-B85A-66EE92B1BBBF}">
  <sheetPr codeName="Hoja3"/>
  <dimension ref="A1:F1175"/>
  <sheetViews>
    <sheetView topLeftCell="A190" workbookViewId="0">
      <selection activeCell="E39" sqref="E39"/>
    </sheetView>
  </sheetViews>
  <sheetFormatPr baseColWidth="10" defaultRowHeight="15"/>
  <cols>
    <col min="1" max="1" width="16.7109375" bestFit="1" customWidth="1"/>
    <col min="5" max="5" width="12.140625" customWidth="1"/>
    <col min="6" max="6" width="77.85546875" customWidth="1"/>
  </cols>
  <sheetData>
    <row r="1" spans="1:6">
      <c r="A1" s="7" t="s">
        <v>6</v>
      </c>
      <c r="E1" s="8" t="s">
        <v>1209</v>
      </c>
      <c r="F1" s="8" t="s">
        <v>8</v>
      </c>
    </row>
    <row r="2" spans="1:6">
      <c r="A2" s="7" t="s">
        <v>1188</v>
      </c>
      <c r="E2" s="9">
        <v>2</v>
      </c>
      <c r="F2" s="10" t="s">
        <v>199</v>
      </c>
    </row>
    <row r="3" spans="1:6">
      <c r="A3" s="7" t="s">
        <v>1185</v>
      </c>
      <c r="E3" s="5">
        <v>3</v>
      </c>
      <c r="F3" s="6" t="s">
        <v>1148</v>
      </c>
    </row>
    <row r="4" spans="1:6">
      <c r="A4" s="7" t="s">
        <v>1193</v>
      </c>
      <c r="E4" s="9">
        <v>4</v>
      </c>
      <c r="F4" s="10" t="s">
        <v>24</v>
      </c>
    </row>
    <row r="5" spans="1:6">
      <c r="A5" s="7" t="s">
        <v>1198</v>
      </c>
      <c r="E5" s="5">
        <v>5</v>
      </c>
      <c r="F5" s="6" t="s">
        <v>225</v>
      </c>
    </row>
    <row r="6" spans="1:6">
      <c r="A6" s="7" t="s">
        <v>1184</v>
      </c>
      <c r="E6" s="9">
        <v>8</v>
      </c>
      <c r="F6" s="10" t="s">
        <v>168</v>
      </c>
    </row>
    <row r="7" spans="1:6">
      <c r="A7" s="7" t="s">
        <v>1194</v>
      </c>
      <c r="E7" s="5">
        <v>12</v>
      </c>
      <c r="F7" s="6" t="s">
        <v>202</v>
      </c>
    </row>
    <row r="8" spans="1:6">
      <c r="A8" s="7" t="s">
        <v>1187</v>
      </c>
      <c r="E8" s="9">
        <v>13</v>
      </c>
      <c r="F8" s="10" t="s">
        <v>855</v>
      </c>
    </row>
    <row r="9" spans="1:6">
      <c r="A9" s="7" t="s">
        <v>1186</v>
      </c>
      <c r="E9" s="5">
        <v>14</v>
      </c>
      <c r="F9" s="6" t="s">
        <v>850</v>
      </c>
    </row>
    <row r="10" spans="1:6">
      <c r="A10" s="7" t="s">
        <v>1190</v>
      </c>
      <c r="E10" s="9">
        <v>15</v>
      </c>
      <c r="F10" s="10" t="s">
        <v>1140</v>
      </c>
    </row>
    <row r="11" spans="1:6">
      <c r="A11" s="7" t="s">
        <v>1197</v>
      </c>
      <c r="E11" s="5">
        <v>20</v>
      </c>
      <c r="F11" s="6" t="s">
        <v>995</v>
      </c>
    </row>
    <row r="12" spans="1:6">
      <c r="A12" s="7" t="s">
        <v>1191</v>
      </c>
      <c r="E12" s="9">
        <v>22</v>
      </c>
      <c r="F12" s="10" t="s">
        <v>111</v>
      </c>
    </row>
    <row r="13" spans="1:6">
      <c r="A13" s="7" t="s">
        <v>1195</v>
      </c>
      <c r="E13" s="5">
        <v>24</v>
      </c>
      <c r="F13" s="6" t="s">
        <v>161</v>
      </c>
    </row>
    <row r="14" spans="1:6">
      <c r="A14" s="7" t="s">
        <v>1196</v>
      </c>
      <c r="E14" s="9">
        <v>29</v>
      </c>
      <c r="F14" s="10" t="s">
        <v>223</v>
      </c>
    </row>
    <row r="15" spans="1:6">
      <c r="A15" s="7" t="s">
        <v>1189</v>
      </c>
      <c r="E15" s="5">
        <v>50</v>
      </c>
      <c r="F15" s="6" t="s">
        <v>305</v>
      </c>
    </row>
    <row r="16" spans="1:6">
      <c r="A16" s="7" t="s">
        <v>1183</v>
      </c>
      <c r="E16" s="9">
        <v>95</v>
      </c>
      <c r="F16" s="10" t="s">
        <v>651</v>
      </c>
    </row>
    <row r="17" spans="1:6">
      <c r="A17" s="7" t="s">
        <v>1183</v>
      </c>
      <c r="E17" s="5">
        <v>97</v>
      </c>
      <c r="F17" s="6" t="s">
        <v>654</v>
      </c>
    </row>
    <row r="18" spans="1:6">
      <c r="A18" s="7" t="s">
        <v>1182</v>
      </c>
      <c r="E18" s="9">
        <v>100</v>
      </c>
      <c r="F18" s="10" t="s">
        <v>1075</v>
      </c>
    </row>
    <row r="19" spans="1:6">
      <c r="A19" s="7" t="s">
        <v>1192</v>
      </c>
      <c r="E19" s="5">
        <v>102</v>
      </c>
      <c r="F19" s="6" t="s">
        <v>856</v>
      </c>
    </row>
    <row r="20" spans="1:6">
      <c r="A20" s="7" t="s">
        <v>1299</v>
      </c>
      <c r="E20" s="9">
        <v>103</v>
      </c>
      <c r="F20" s="10" t="s">
        <v>1083</v>
      </c>
    </row>
    <row r="21" spans="1:6">
      <c r="E21" s="5">
        <v>109</v>
      </c>
      <c r="F21" s="6" t="s">
        <v>713</v>
      </c>
    </row>
    <row r="22" spans="1:6">
      <c r="E22" s="9">
        <v>143</v>
      </c>
      <c r="F22" s="10" t="s">
        <v>845</v>
      </c>
    </row>
    <row r="23" spans="1:6">
      <c r="E23" s="5">
        <v>159</v>
      </c>
      <c r="F23" s="6" t="s">
        <v>51</v>
      </c>
    </row>
    <row r="24" spans="1:6">
      <c r="E24" s="9">
        <v>188</v>
      </c>
      <c r="F24" s="10" t="s">
        <v>27</v>
      </c>
    </row>
    <row r="25" spans="1:6">
      <c r="E25" s="5">
        <v>189</v>
      </c>
      <c r="F25" s="6" t="s">
        <v>852</v>
      </c>
    </row>
    <row r="26" spans="1:6">
      <c r="E26" s="9">
        <v>190</v>
      </c>
      <c r="F26" s="10" t="s">
        <v>45</v>
      </c>
    </row>
    <row r="27" spans="1:6">
      <c r="E27" s="5">
        <v>191</v>
      </c>
      <c r="F27" s="6" t="s">
        <v>46</v>
      </c>
    </row>
    <row r="28" spans="1:6">
      <c r="E28" s="9">
        <v>192</v>
      </c>
      <c r="F28" s="10" t="s">
        <v>48</v>
      </c>
    </row>
    <row r="29" spans="1:6">
      <c r="E29" s="5">
        <v>193</v>
      </c>
      <c r="F29" s="6" t="s">
        <v>49</v>
      </c>
    </row>
    <row r="30" spans="1:6">
      <c r="E30" s="9">
        <v>195</v>
      </c>
      <c r="F30" s="10" t="s">
        <v>52</v>
      </c>
    </row>
    <row r="31" spans="1:6">
      <c r="E31" s="5">
        <v>196</v>
      </c>
      <c r="F31" s="6" t="s">
        <v>59</v>
      </c>
    </row>
    <row r="32" spans="1:6">
      <c r="E32" s="9">
        <v>198</v>
      </c>
      <c r="F32" s="10" t="s">
        <v>64</v>
      </c>
    </row>
    <row r="33" spans="5:6">
      <c r="E33" s="5">
        <v>200</v>
      </c>
      <c r="F33" s="6" t="s">
        <v>85</v>
      </c>
    </row>
    <row r="34" spans="5:6">
      <c r="E34" s="9">
        <v>201</v>
      </c>
      <c r="F34" s="10" t="s">
        <v>86</v>
      </c>
    </row>
    <row r="35" spans="5:6">
      <c r="E35" s="5">
        <v>202</v>
      </c>
      <c r="F35" s="6" t="s">
        <v>87</v>
      </c>
    </row>
    <row r="36" spans="5:6">
      <c r="E36" s="9">
        <v>205</v>
      </c>
      <c r="F36" s="10" t="s">
        <v>88</v>
      </c>
    </row>
    <row r="37" spans="5:6">
      <c r="E37" s="5">
        <v>209</v>
      </c>
      <c r="F37" s="6" t="s">
        <v>197</v>
      </c>
    </row>
    <row r="38" spans="5:6">
      <c r="E38" s="9">
        <v>212</v>
      </c>
      <c r="F38" s="10" t="s">
        <v>90</v>
      </c>
    </row>
    <row r="39" spans="5:6">
      <c r="E39" s="5">
        <v>215</v>
      </c>
      <c r="F39" s="6" t="s">
        <v>91</v>
      </c>
    </row>
    <row r="40" spans="5:6">
      <c r="E40" s="9">
        <v>216</v>
      </c>
      <c r="F40" s="10" t="s">
        <v>92</v>
      </c>
    </row>
    <row r="41" spans="5:6">
      <c r="E41" s="5">
        <v>218</v>
      </c>
      <c r="F41" s="6" t="s">
        <v>95</v>
      </c>
    </row>
    <row r="42" spans="5:6">
      <c r="E42" s="9">
        <v>220</v>
      </c>
      <c r="F42" s="10" t="s">
        <v>162</v>
      </c>
    </row>
    <row r="43" spans="5:6">
      <c r="E43" s="5">
        <v>222</v>
      </c>
      <c r="F43" s="6" t="s">
        <v>178</v>
      </c>
    </row>
    <row r="44" spans="5:6">
      <c r="E44" s="9">
        <v>223</v>
      </c>
      <c r="F44" s="10" t="s">
        <v>179</v>
      </c>
    </row>
    <row r="45" spans="5:6">
      <c r="E45" s="5">
        <v>224</v>
      </c>
      <c r="F45" s="6" t="s">
        <v>1077</v>
      </c>
    </row>
    <row r="46" spans="5:6">
      <c r="E46" s="9">
        <v>225</v>
      </c>
      <c r="F46" s="10" t="s">
        <v>183</v>
      </c>
    </row>
    <row r="47" spans="5:6">
      <c r="E47" s="5">
        <v>226</v>
      </c>
      <c r="F47" s="6" t="s">
        <v>209</v>
      </c>
    </row>
    <row r="48" spans="5:6">
      <c r="E48" s="9">
        <v>227</v>
      </c>
      <c r="F48" s="10" t="s">
        <v>210</v>
      </c>
    </row>
    <row r="49" spans="5:6">
      <c r="E49" s="5">
        <v>228</v>
      </c>
      <c r="F49" s="6" t="s">
        <v>211</v>
      </c>
    </row>
    <row r="50" spans="5:6">
      <c r="E50" s="9">
        <v>229</v>
      </c>
      <c r="F50" s="10" t="s">
        <v>212</v>
      </c>
    </row>
    <row r="51" spans="5:6">
      <c r="E51" s="5">
        <v>230</v>
      </c>
      <c r="F51" s="6" t="s">
        <v>213</v>
      </c>
    </row>
    <row r="52" spans="5:6">
      <c r="E52" s="9">
        <v>231</v>
      </c>
      <c r="F52" s="10" t="s">
        <v>215</v>
      </c>
    </row>
    <row r="53" spans="5:6">
      <c r="E53" s="5">
        <v>232</v>
      </c>
      <c r="F53" s="6" t="s">
        <v>216</v>
      </c>
    </row>
    <row r="54" spans="5:6">
      <c r="E54" s="9">
        <v>233</v>
      </c>
      <c r="F54" s="10" t="s">
        <v>217</v>
      </c>
    </row>
    <row r="55" spans="5:6">
      <c r="E55" s="5">
        <v>234</v>
      </c>
      <c r="F55" s="6" t="s">
        <v>218</v>
      </c>
    </row>
    <row r="56" spans="5:6">
      <c r="E56" s="9">
        <v>235</v>
      </c>
      <c r="F56" s="10" t="s">
        <v>219</v>
      </c>
    </row>
    <row r="57" spans="5:6">
      <c r="E57" s="5">
        <v>236</v>
      </c>
      <c r="F57" s="6" t="s">
        <v>220</v>
      </c>
    </row>
    <row r="58" spans="5:6">
      <c r="E58" s="9">
        <v>237</v>
      </c>
      <c r="F58" s="10" t="s">
        <v>221</v>
      </c>
    </row>
    <row r="59" spans="5:6">
      <c r="E59" s="5">
        <v>238</v>
      </c>
      <c r="F59" s="6" t="s">
        <v>229</v>
      </c>
    </row>
    <row r="60" spans="5:6">
      <c r="E60" s="9">
        <v>239</v>
      </c>
      <c r="F60" s="10" t="s">
        <v>230</v>
      </c>
    </row>
    <row r="61" spans="5:6">
      <c r="E61" s="5">
        <v>240</v>
      </c>
      <c r="F61" s="6" t="s">
        <v>231</v>
      </c>
    </row>
    <row r="62" spans="5:6">
      <c r="E62" s="9">
        <v>244</v>
      </c>
      <c r="F62" s="10" t="s">
        <v>268</v>
      </c>
    </row>
    <row r="63" spans="5:6">
      <c r="E63" s="5">
        <v>245</v>
      </c>
      <c r="F63" s="6" t="s">
        <v>270</v>
      </c>
    </row>
    <row r="64" spans="5:6">
      <c r="E64" s="9">
        <v>246</v>
      </c>
      <c r="F64" s="10" t="s">
        <v>271</v>
      </c>
    </row>
    <row r="65" spans="5:6">
      <c r="E65" s="5">
        <v>247</v>
      </c>
      <c r="F65" s="6" t="s">
        <v>272</v>
      </c>
    </row>
    <row r="66" spans="5:6">
      <c r="E66" s="9">
        <v>248</v>
      </c>
      <c r="F66" s="10" t="s">
        <v>273</v>
      </c>
    </row>
    <row r="67" spans="5:6">
      <c r="E67" s="5">
        <v>250</v>
      </c>
      <c r="F67" s="6" t="s">
        <v>386</v>
      </c>
    </row>
    <row r="68" spans="5:6">
      <c r="E68" s="9">
        <v>251</v>
      </c>
      <c r="F68" s="10" t="s">
        <v>952</v>
      </c>
    </row>
    <row r="69" spans="5:6">
      <c r="E69" s="5">
        <v>252</v>
      </c>
      <c r="F69" s="6" t="s">
        <v>489</v>
      </c>
    </row>
    <row r="70" spans="5:6">
      <c r="E70" s="9">
        <v>254</v>
      </c>
      <c r="F70" s="10" t="s">
        <v>499</v>
      </c>
    </row>
    <row r="71" spans="5:6">
      <c r="E71" s="5">
        <v>255</v>
      </c>
      <c r="F71" s="6" t="s">
        <v>501</v>
      </c>
    </row>
    <row r="72" spans="5:6">
      <c r="E72" s="9">
        <v>256</v>
      </c>
      <c r="F72" s="10" t="s">
        <v>503</v>
      </c>
    </row>
    <row r="73" spans="5:6">
      <c r="E73" s="5">
        <v>257</v>
      </c>
      <c r="F73" s="6" t="s">
        <v>504</v>
      </c>
    </row>
    <row r="74" spans="5:6">
      <c r="E74" s="9">
        <v>258</v>
      </c>
      <c r="F74" s="10" t="s">
        <v>505</v>
      </c>
    </row>
    <row r="75" spans="5:6">
      <c r="E75" s="5">
        <v>259</v>
      </c>
      <c r="F75" s="6" t="s">
        <v>544</v>
      </c>
    </row>
    <row r="76" spans="5:6">
      <c r="E76" s="9">
        <v>261</v>
      </c>
      <c r="F76" s="10" t="s">
        <v>640</v>
      </c>
    </row>
    <row r="77" spans="5:6">
      <c r="E77" s="5">
        <v>262</v>
      </c>
      <c r="F77" s="6" t="s">
        <v>657</v>
      </c>
    </row>
    <row r="78" spans="5:6">
      <c r="E78" s="9">
        <v>263</v>
      </c>
      <c r="F78" s="10" t="s">
        <v>658</v>
      </c>
    </row>
    <row r="79" spans="5:6">
      <c r="E79" s="5">
        <v>264</v>
      </c>
      <c r="F79" s="6" t="s">
        <v>659</v>
      </c>
    </row>
    <row r="80" spans="5:6">
      <c r="E80" s="9">
        <v>265</v>
      </c>
      <c r="F80" s="10" t="s">
        <v>660</v>
      </c>
    </row>
    <row r="81" spans="5:6">
      <c r="E81" s="5">
        <v>266</v>
      </c>
      <c r="F81" s="6" t="s">
        <v>661</v>
      </c>
    </row>
    <row r="82" spans="5:6">
      <c r="E82" s="9">
        <v>271</v>
      </c>
      <c r="F82" s="10" t="s">
        <v>662</v>
      </c>
    </row>
    <row r="83" spans="5:6">
      <c r="E83" s="5">
        <v>272</v>
      </c>
      <c r="F83" s="6" t="s">
        <v>688</v>
      </c>
    </row>
    <row r="84" spans="5:6">
      <c r="E84" s="9">
        <v>273</v>
      </c>
      <c r="F84" s="10" t="s">
        <v>689</v>
      </c>
    </row>
    <row r="85" spans="5:6">
      <c r="E85" s="5">
        <v>274</v>
      </c>
      <c r="F85" s="6" t="s">
        <v>687</v>
      </c>
    </row>
    <row r="86" spans="5:6">
      <c r="E86" s="9">
        <v>276</v>
      </c>
      <c r="F86" s="10" t="s">
        <v>717</v>
      </c>
    </row>
    <row r="87" spans="5:6">
      <c r="E87" s="5">
        <v>277</v>
      </c>
      <c r="F87" s="6" t="s">
        <v>718</v>
      </c>
    </row>
    <row r="88" spans="5:6">
      <c r="E88" s="9">
        <v>278</v>
      </c>
      <c r="F88" s="10" t="s">
        <v>715</v>
      </c>
    </row>
    <row r="89" spans="5:6">
      <c r="E89" s="5">
        <v>279</v>
      </c>
      <c r="F89" s="6" t="s">
        <v>716</v>
      </c>
    </row>
    <row r="90" spans="5:6">
      <c r="E90" s="9">
        <v>280</v>
      </c>
      <c r="F90" s="10" t="s">
        <v>719</v>
      </c>
    </row>
    <row r="91" spans="5:6">
      <c r="E91" s="5">
        <v>281</v>
      </c>
      <c r="F91" s="6" t="s">
        <v>776</v>
      </c>
    </row>
    <row r="92" spans="5:6">
      <c r="E92" s="9">
        <v>283</v>
      </c>
      <c r="F92" s="10" t="s">
        <v>804</v>
      </c>
    </row>
    <row r="93" spans="5:6">
      <c r="E93" s="5">
        <v>284</v>
      </c>
      <c r="F93" s="6" t="s">
        <v>805</v>
      </c>
    </row>
    <row r="94" spans="5:6">
      <c r="E94" s="9">
        <v>285</v>
      </c>
      <c r="F94" s="10" t="s">
        <v>806</v>
      </c>
    </row>
    <row r="95" spans="5:6">
      <c r="E95" s="5">
        <v>286</v>
      </c>
      <c r="F95" s="6" t="s">
        <v>807</v>
      </c>
    </row>
    <row r="96" spans="5:6">
      <c r="E96" s="9">
        <v>288</v>
      </c>
      <c r="F96" s="10" t="s">
        <v>834</v>
      </c>
    </row>
    <row r="97" spans="5:6">
      <c r="E97" s="5">
        <v>289</v>
      </c>
      <c r="F97" s="6" t="s">
        <v>835</v>
      </c>
    </row>
    <row r="98" spans="5:6">
      <c r="E98" s="9">
        <v>291</v>
      </c>
      <c r="F98" s="10" t="s">
        <v>884</v>
      </c>
    </row>
    <row r="99" spans="5:6">
      <c r="E99" s="5">
        <v>292</v>
      </c>
      <c r="F99" s="6" t="s">
        <v>887</v>
      </c>
    </row>
    <row r="100" spans="5:6">
      <c r="E100" s="9">
        <v>294</v>
      </c>
      <c r="F100" s="10" t="s">
        <v>890</v>
      </c>
    </row>
    <row r="101" spans="5:6">
      <c r="E101" s="5">
        <v>295</v>
      </c>
      <c r="F101" s="6" t="s">
        <v>911</v>
      </c>
    </row>
    <row r="102" spans="5:6">
      <c r="E102" s="9">
        <v>296</v>
      </c>
      <c r="F102" s="10" t="s">
        <v>939</v>
      </c>
    </row>
    <row r="103" spans="5:6">
      <c r="E103" s="5">
        <v>297</v>
      </c>
      <c r="F103" s="6" t="s">
        <v>573</v>
      </c>
    </row>
    <row r="104" spans="5:6">
      <c r="E104" s="9">
        <v>299</v>
      </c>
      <c r="F104" s="10" t="s">
        <v>1035</v>
      </c>
    </row>
    <row r="105" spans="5:6">
      <c r="E105" s="5">
        <v>300</v>
      </c>
      <c r="F105" s="6" t="s">
        <v>1036</v>
      </c>
    </row>
    <row r="106" spans="5:6">
      <c r="E106" s="9">
        <v>301</v>
      </c>
      <c r="F106" s="10" t="s">
        <v>1037</v>
      </c>
    </row>
    <row r="107" spans="5:6">
      <c r="E107" s="5">
        <v>302</v>
      </c>
      <c r="F107" s="6" t="s">
        <v>1038</v>
      </c>
    </row>
    <row r="108" spans="5:6">
      <c r="E108" s="9">
        <v>303</v>
      </c>
      <c r="F108" s="10" t="s">
        <v>1039</v>
      </c>
    </row>
    <row r="109" spans="5:6">
      <c r="E109" s="5">
        <v>304</v>
      </c>
      <c r="F109" s="6" t="s">
        <v>1040</v>
      </c>
    </row>
    <row r="110" spans="5:6">
      <c r="E110" s="9">
        <v>305</v>
      </c>
      <c r="F110" s="10" t="s">
        <v>1041</v>
      </c>
    </row>
    <row r="111" spans="5:6">
      <c r="E111" s="5">
        <v>306</v>
      </c>
      <c r="F111" s="6" t="s">
        <v>1045</v>
      </c>
    </row>
    <row r="112" spans="5:6">
      <c r="E112" s="9">
        <v>307</v>
      </c>
      <c r="F112" s="10" t="s">
        <v>1046</v>
      </c>
    </row>
    <row r="113" spans="5:6">
      <c r="E113" s="5">
        <v>308</v>
      </c>
      <c r="F113" s="6" t="s">
        <v>1047</v>
      </c>
    </row>
    <row r="114" spans="5:6">
      <c r="E114" s="9">
        <v>309</v>
      </c>
      <c r="F114" s="10" t="s">
        <v>1048</v>
      </c>
    </row>
    <row r="115" spans="5:6">
      <c r="E115" s="5">
        <v>310</v>
      </c>
      <c r="F115" s="6" t="s">
        <v>1050</v>
      </c>
    </row>
    <row r="116" spans="5:6">
      <c r="E116" s="9">
        <v>311</v>
      </c>
      <c r="F116" s="10" t="s">
        <v>1051</v>
      </c>
    </row>
    <row r="117" spans="5:6">
      <c r="E117" s="5">
        <v>312</v>
      </c>
      <c r="F117" s="6" t="s">
        <v>1052</v>
      </c>
    </row>
    <row r="118" spans="5:6">
      <c r="E118" s="9">
        <v>313</v>
      </c>
      <c r="F118" s="10" t="s">
        <v>1053</v>
      </c>
    </row>
    <row r="119" spans="5:6">
      <c r="E119" s="5">
        <v>314</v>
      </c>
      <c r="F119" s="6" t="s">
        <v>1054</v>
      </c>
    </row>
    <row r="120" spans="5:6">
      <c r="E120" s="9">
        <v>315</v>
      </c>
      <c r="F120" s="10" t="s">
        <v>1057</v>
      </c>
    </row>
    <row r="121" spans="5:6">
      <c r="E121" s="5">
        <v>316</v>
      </c>
      <c r="F121" s="6" t="s">
        <v>1058</v>
      </c>
    </row>
    <row r="122" spans="5:6">
      <c r="E122" s="9">
        <v>317</v>
      </c>
      <c r="F122" s="10" t="s">
        <v>1059</v>
      </c>
    </row>
    <row r="123" spans="5:6">
      <c r="E123" s="5">
        <v>318</v>
      </c>
      <c r="F123" s="6" t="s">
        <v>1060</v>
      </c>
    </row>
    <row r="124" spans="5:6">
      <c r="E124" s="9">
        <v>319</v>
      </c>
      <c r="F124" s="10" t="s">
        <v>1063</v>
      </c>
    </row>
    <row r="125" spans="5:6">
      <c r="E125" s="5">
        <v>320</v>
      </c>
      <c r="F125" s="6" t="s">
        <v>1064</v>
      </c>
    </row>
    <row r="126" spans="5:6">
      <c r="E126" s="9">
        <v>322</v>
      </c>
      <c r="F126" s="10" t="s">
        <v>1066</v>
      </c>
    </row>
    <row r="127" spans="5:6">
      <c r="E127" s="5">
        <v>329</v>
      </c>
      <c r="F127" s="6" t="s">
        <v>1109</v>
      </c>
    </row>
    <row r="128" spans="5:6">
      <c r="E128" s="9">
        <v>330</v>
      </c>
      <c r="F128" s="10" t="s">
        <v>1117</v>
      </c>
    </row>
    <row r="129" spans="5:6">
      <c r="E129" s="5">
        <v>331</v>
      </c>
      <c r="F129" s="6" t="s">
        <v>1118</v>
      </c>
    </row>
    <row r="130" spans="5:6">
      <c r="E130" s="9">
        <v>332</v>
      </c>
      <c r="F130" s="10" t="s">
        <v>1119</v>
      </c>
    </row>
    <row r="131" spans="5:6">
      <c r="E131" s="5">
        <v>333</v>
      </c>
      <c r="F131" s="6" t="s">
        <v>1120</v>
      </c>
    </row>
    <row r="132" spans="5:6">
      <c r="E132" s="9">
        <v>334</v>
      </c>
      <c r="F132" s="10" t="s">
        <v>1121</v>
      </c>
    </row>
    <row r="133" spans="5:6">
      <c r="E133" s="5">
        <v>335</v>
      </c>
      <c r="F133" s="6" t="s">
        <v>1122</v>
      </c>
    </row>
    <row r="134" spans="5:6">
      <c r="E134" s="9">
        <v>336</v>
      </c>
      <c r="F134" s="10" t="s">
        <v>1123</v>
      </c>
    </row>
    <row r="135" spans="5:6">
      <c r="E135" s="5">
        <v>337</v>
      </c>
      <c r="F135" s="6" t="s">
        <v>1124</v>
      </c>
    </row>
    <row r="136" spans="5:6">
      <c r="E136" s="9">
        <v>338</v>
      </c>
      <c r="F136" s="10" t="s">
        <v>1127</v>
      </c>
    </row>
    <row r="137" spans="5:6">
      <c r="E137" s="5">
        <v>339</v>
      </c>
      <c r="F137" s="6" t="s">
        <v>1128</v>
      </c>
    </row>
    <row r="138" spans="5:6">
      <c r="E138" s="9">
        <v>340</v>
      </c>
      <c r="F138" s="10" t="s">
        <v>1129</v>
      </c>
    </row>
    <row r="139" spans="5:6">
      <c r="E139" s="5">
        <v>342</v>
      </c>
      <c r="F139" s="6" t="s">
        <v>1167</v>
      </c>
    </row>
    <row r="140" spans="5:6">
      <c r="E140" s="9">
        <v>344</v>
      </c>
      <c r="F140" s="10" t="s">
        <v>19</v>
      </c>
    </row>
    <row r="141" spans="5:6">
      <c r="E141" s="5">
        <v>345</v>
      </c>
      <c r="F141" s="6" t="s">
        <v>794</v>
      </c>
    </row>
    <row r="142" spans="5:6">
      <c r="E142" s="9">
        <v>346</v>
      </c>
      <c r="F142" s="10" t="s">
        <v>512</v>
      </c>
    </row>
    <row r="143" spans="5:6">
      <c r="E143" s="5">
        <v>347</v>
      </c>
      <c r="F143" s="6" t="s">
        <v>363</v>
      </c>
    </row>
    <row r="144" spans="5:6">
      <c r="E144" s="9">
        <v>348</v>
      </c>
      <c r="F144" s="10" t="s">
        <v>829</v>
      </c>
    </row>
    <row r="145" spans="5:6">
      <c r="E145" s="5">
        <v>349</v>
      </c>
      <c r="F145" s="6" t="s">
        <v>929</v>
      </c>
    </row>
    <row r="146" spans="5:6">
      <c r="E146" s="9">
        <v>350</v>
      </c>
      <c r="F146" s="10" t="s">
        <v>909</v>
      </c>
    </row>
    <row r="147" spans="5:6">
      <c r="E147" s="5">
        <v>351</v>
      </c>
      <c r="F147" s="6" t="s">
        <v>370</v>
      </c>
    </row>
    <row r="148" spans="5:6">
      <c r="E148" s="9">
        <v>352</v>
      </c>
      <c r="F148" s="10" t="s">
        <v>372</v>
      </c>
    </row>
    <row r="149" spans="5:6">
      <c r="E149" s="5">
        <v>353</v>
      </c>
      <c r="F149" s="6" t="s">
        <v>374</v>
      </c>
    </row>
    <row r="150" spans="5:6">
      <c r="E150" s="9">
        <v>357</v>
      </c>
      <c r="F150" s="10" t="s">
        <v>65</v>
      </c>
    </row>
    <row r="151" spans="5:6">
      <c r="E151" s="5">
        <v>358</v>
      </c>
      <c r="F151" s="6" t="s">
        <v>66</v>
      </c>
    </row>
    <row r="152" spans="5:6">
      <c r="E152" s="9">
        <v>359</v>
      </c>
      <c r="F152" s="10" t="s">
        <v>75</v>
      </c>
    </row>
    <row r="153" spans="5:6">
      <c r="E153" s="5">
        <v>361</v>
      </c>
      <c r="F153" s="6" t="s">
        <v>1090</v>
      </c>
    </row>
    <row r="154" spans="5:6">
      <c r="E154" s="9">
        <v>363</v>
      </c>
      <c r="F154" s="10" t="s">
        <v>84</v>
      </c>
    </row>
    <row r="155" spans="5:6">
      <c r="E155" s="5">
        <v>368</v>
      </c>
      <c r="F155" s="6" t="s">
        <v>548</v>
      </c>
    </row>
    <row r="156" spans="5:6">
      <c r="E156" s="9">
        <v>370</v>
      </c>
      <c r="F156" s="10" t="s">
        <v>252</v>
      </c>
    </row>
    <row r="157" spans="5:6">
      <c r="E157" s="5">
        <v>374</v>
      </c>
      <c r="F157" s="6" t="s">
        <v>320</v>
      </c>
    </row>
    <row r="158" spans="5:6">
      <c r="E158" s="9">
        <v>375</v>
      </c>
      <c r="F158" s="10" t="s">
        <v>321</v>
      </c>
    </row>
    <row r="159" spans="5:6">
      <c r="E159" s="5">
        <v>377</v>
      </c>
      <c r="F159" s="6" t="s">
        <v>323</v>
      </c>
    </row>
    <row r="160" spans="5:6">
      <c r="E160" s="9">
        <v>378</v>
      </c>
      <c r="F160" s="10" t="s">
        <v>324</v>
      </c>
    </row>
    <row r="161" spans="5:6">
      <c r="E161" s="5">
        <v>379</v>
      </c>
      <c r="F161" s="6" t="s">
        <v>325</v>
      </c>
    </row>
    <row r="162" spans="5:6">
      <c r="E162" s="9">
        <v>380</v>
      </c>
      <c r="F162" s="10" t="s">
        <v>326</v>
      </c>
    </row>
    <row r="163" spans="5:6">
      <c r="E163" s="5">
        <v>381</v>
      </c>
      <c r="F163" s="6" t="s">
        <v>327</v>
      </c>
    </row>
    <row r="164" spans="5:6">
      <c r="E164" s="9">
        <v>382</v>
      </c>
      <c r="F164" s="10" t="s">
        <v>333</v>
      </c>
    </row>
    <row r="165" spans="5:6">
      <c r="E165" s="5">
        <v>383</v>
      </c>
      <c r="F165" s="6" t="s">
        <v>334</v>
      </c>
    </row>
    <row r="166" spans="5:6">
      <c r="E166" s="9">
        <v>384</v>
      </c>
      <c r="F166" s="10" t="s">
        <v>341</v>
      </c>
    </row>
    <row r="167" spans="5:6">
      <c r="E167" s="5">
        <v>393</v>
      </c>
      <c r="F167" s="6" t="s">
        <v>681</v>
      </c>
    </row>
    <row r="168" spans="5:6">
      <c r="E168" s="9">
        <v>394</v>
      </c>
      <c r="F168" s="10" t="s">
        <v>487</v>
      </c>
    </row>
    <row r="169" spans="5:6">
      <c r="E169" s="5">
        <v>398</v>
      </c>
      <c r="F169" s="6" t="s">
        <v>509</v>
      </c>
    </row>
    <row r="170" spans="5:6">
      <c r="E170" s="9">
        <v>401</v>
      </c>
      <c r="F170" s="10" t="s">
        <v>532</v>
      </c>
    </row>
    <row r="171" spans="5:6">
      <c r="E171" s="5">
        <v>405</v>
      </c>
      <c r="F171" s="6" t="s">
        <v>582</v>
      </c>
    </row>
    <row r="172" spans="5:6">
      <c r="E172" s="9">
        <v>410</v>
      </c>
      <c r="F172" s="10" t="s">
        <v>656</v>
      </c>
    </row>
    <row r="173" spans="5:6">
      <c r="E173" s="5">
        <v>417</v>
      </c>
      <c r="F173" s="6" t="s">
        <v>663</v>
      </c>
    </row>
    <row r="174" spans="5:6">
      <c r="E174" s="9">
        <v>418</v>
      </c>
      <c r="F174" s="10" t="s">
        <v>664</v>
      </c>
    </row>
    <row r="175" spans="5:6">
      <c r="E175" s="5">
        <v>419</v>
      </c>
      <c r="F175" s="6" t="s">
        <v>665</v>
      </c>
    </row>
    <row r="176" spans="5:6">
      <c r="E176" s="9">
        <v>423</v>
      </c>
      <c r="F176" s="10" t="s">
        <v>673</v>
      </c>
    </row>
    <row r="177" spans="5:6">
      <c r="E177" s="5">
        <v>424</v>
      </c>
      <c r="F177" s="6" t="s">
        <v>1079</v>
      </c>
    </row>
    <row r="178" spans="5:6">
      <c r="E178" s="9">
        <v>426</v>
      </c>
      <c r="F178" s="10" t="s">
        <v>683</v>
      </c>
    </row>
    <row r="179" spans="5:6">
      <c r="E179" s="5">
        <v>427</v>
      </c>
      <c r="F179" s="6" t="s">
        <v>684</v>
      </c>
    </row>
    <row r="180" spans="5:6">
      <c r="E180" s="9">
        <v>430</v>
      </c>
      <c r="F180" s="10" t="s">
        <v>685</v>
      </c>
    </row>
    <row r="181" spans="5:6">
      <c r="E181" s="5">
        <v>431</v>
      </c>
      <c r="F181" s="6" t="s">
        <v>690</v>
      </c>
    </row>
    <row r="182" spans="5:6">
      <c r="E182" s="9">
        <v>434</v>
      </c>
      <c r="F182" s="10" t="s">
        <v>693</v>
      </c>
    </row>
    <row r="183" spans="5:6">
      <c r="E183" s="5">
        <v>435</v>
      </c>
      <c r="F183" s="6" t="s">
        <v>694</v>
      </c>
    </row>
    <row r="184" spans="5:6">
      <c r="E184" s="9">
        <v>441</v>
      </c>
      <c r="F184" s="10" t="s">
        <v>703</v>
      </c>
    </row>
    <row r="185" spans="5:6">
      <c r="E185" s="5">
        <v>442</v>
      </c>
      <c r="F185" s="6" t="s">
        <v>704</v>
      </c>
    </row>
    <row r="186" spans="5:6">
      <c r="E186" s="9">
        <v>448</v>
      </c>
      <c r="F186" s="10" t="s">
        <v>775</v>
      </c>
    </row>
    <row r="187" spans="5:6">
      <c r="E187" s="5">
        <v>449</v>
      </c>
      <c r="F187" s="6" t="s">
        <v>786</v>
      </c>
    </row>
    <row r="188" spans="5:6">
      <c r="E188" s="9">
        <v>450</v>
      </c>
      <c r="F188" s="10" t="s">
        <v>787</v>
      </c>
    </row>
    <row r="189" spans="5:6">
      <c r="E189" s="5">
        <v>451</v>
      </c>
      <c r="F189" s="6" t="s">
        <v>788</v>
      </c>
    </row>
    <row r="190" spans="5:6">
      <c r="E190" s="9">
        <v>452</v>
      </c>
      <c r="F190" s="10" t="s">
        <v>789</v>
      </c>
    </row>
    <row r="191" spans="5:6">
      <c r="E191" s="5">
        <v>454</v>
      </c>
      <c r="F191" s="6" t="s">
        <v>791</v>
      </c>
    </row>
    <row r="192" spans="5:6">
      <c r="E192" s="9">
        <v>455</v>
      </c>
      <c r="F192" s="10" t="s">
        <v>793</v>
      </c>
    </row>
    <row r="193" spans="5:6">
      <c r="E193" s="5">
        <v>456</v>
      </c>
      <c r="F193" s="6" t="s">
        <v>800</v>
      </c>
    </row>
    <row r="194" spans="5:6">
      <c r="E194" s="9">
        <v>457</v>
      </c>
      <c r="F194" s="10" t="s">
        <v>813</v>
      </c>
    </row>
    <row r="195" spans="5:6">
      <c r="E195" s="5">
        <v>458</v>
      </c>
      <c r="F195" s="6" t="s">
        <v>857</v>
      </c>
    </row>
    <row r="196" spans="5:6">
      <c r="E196" s="9">
        <v>461</v>
      </c>
      <c r="F196" s="10" t="s">
        <v>896</v>
      </c>
    </row>
    <row r="197" spans="5:6">
      <c r="E197" s="5">
        <v>462</v>
      </c>
      <c r="F197" s="6" t="s">
        <v>906</v>
      </c>
    </row>
    <row r="198" spans="5:6">
      <c r="E198" s="9">
        <v>463</v>
      </c>
      <c r="F198" s="10" t="s">
        <v>907</v>
      </c>
    </row>
    <row r="199" spans="5:6">
      <c r="E199" s="5">
        <v>464</v>
      </c>
      <c r="F199" s="6" t="s">
        <v>381</v>
      </c>
    </row>
    <row r="200" spans="5:6">
      <c r="E200" s="9">
        <v>465</v>
      </c>
      <c r="F200" s="10" t="s">
        <v>382</v>
      </c>
    </row>
    <row r="201" spans="5:6">
      <c r="E201" s="5">
        <v>467</v>
      </c>
      <c r="F201" s="6" t="s">
        <v>914</v>
      </c>
    </row>
    <row r="202" spans="5:6">
      <c r="E202" s="9">
        <v>468</v>
      </c>
      <c r="F202" s="10" t="s">
        <v>915</v>
      </c>
    </row>
    <row r="203" spans="5:6">
      <c r="E203" s="5">
        <v>469</v>
      </c>
      <c r="F203" s="6" t="s">
        <v>930</v>
      </c>
    </row>
    <row r="204" spans="5:6">
      <c r="E204" s="9">
        <v>472</v>
      </c>
      <c r="F204" s="10" t="s">
        <v>987</v>
      </c>
    </row>
    <row r="205" spans="5:6">
      <c r="E205" s="5">
        <v>477</v>
      </c>
      <c r="F205" s="6" t="s">
        <v>1015</v>
      </c>
    </row>
    <row r="206" spans="5:6">
      <c r="E206" s="9">
        <v>480</v>
      </c>
      <c r="F206" s="10" t="s">
        <v>1163</v>
      </c>
    </row>
    <row r="207" spans="5:6">
      <c r="E207" s="5">
        <v>482</v>
      </c>
      <c r="F207" s="6" t="s">
        <v>1173</v>
      </c>
    </row>
    <row r="208" spans="5:6">
      <c r="E208" s="9">
        <v>483</v>
      </c>
      <c r="F208" s="10" t="s">
        <v>648</v>
      </c>
    </row>
    <row r="209" spans="5:6">
      <c r="E209" s="5">
        <v>484</v>
      </c>
      <c r="F209" s="6" t="s">
        <v>260</v>
      </c>
    </row>
    <row r="210" spans="5:6">
      <c r="E210" s="9">
        <v>488</v>
      </c>
      <c r="F210" s="10" t="s">
        <v>312</v>
      </c>
    </row>
    <row r="211" spans="5:6">
      <c r="E211" s="5">
        <v>489</v>
      </c>
      <c r="F211" s="6" t="s">
        <v>165</v>
      </c>
    </row>
    <row r="212" spans="5:6">
      <c r="E212" s="9">
        <v>491</v>
      </c>
      <c r="F212" s="10" t="s">
        <v>1013</v>
      </c>
    </row>
    <row r="213" spans="5:6">
      <c r="E213" s="5">
        <v>492</v>
      </c>
      <c r="F213" s="6" t="s">
        <v>647</v>
      </c>
    </row>
    <row r="214" spans="5:6">
      <c r="E214" s="9">
        <v>494</v>
      </c>
      <c r="F214" s="10" t="s">
        <v>985</v>
      </c>
    </row>
    <row r="215" spans="5:6">
      <c r="E215" s="5">
        <v>496</v>
      </c>
      <c r="F215" s="6" t="s">
        <v>164</v>
      </c>
    </row>
    <row r="216" spans="5:6">
      <c r="E216" s="9">
        <v>497</v>
      </c>
      <c r="F216" s="10" t="s">
        <v>740</v>
      </c>
    </row>
    <row r="217" spans="5:6">
      <c r="E217" s="5">
        <v>498</v>
      </c>
      <c r="F217" s="6" t="s">
        <v>744</v>
      </c>
    </row>
    <row r="218" spans="5:6">
      <c r="E218" s="9">
        <v>518</v>
      </c>
      <c r="F218" s="10" t="s">
        <v>335</v>
      </c>
    </row>
    <row r="219" spans="5:6">
      <c r="E219" s="5">
        <v>520</v>
      </c>
      <c r="F219" s="6" t="s">
        <v>338</v>
      </c>
    </row>
    <row r="220" spans="5:6">
      <c r="E220" s="9">
        <v>528</v>
      </c>
      <c r="F220" s="10" t="s">
        <v>339</v>
      </c>
    </row>
    <row r="221" spans="5:6">
      <c r="E221" s="5">
        <v>529</v>
      </c>
      <c r="F221" s="6" t="s">
        <v>340</v>
      </c>
    </row>
    <row r="222" spans="5:6">
      <c r="E222" s="9">
        <v>533</v>
      </c>
      <c r="F222" s="10" t="s">
        <v>1179</v>
      </c>
    </row>
    <row r="223" spans="5:6">
      <c r="E223" s="5">
        <v>535</v>
      </c>
      <c r="F223" s="6" t="s">
        <v>177</v>
      </c>
    </row>
    <row r="224" spans="5:6">
      <c r="E224" s="9">
        <v>536</v>
      </c>
      <c r="F224" s="10" t="s">
        <v>990</v>
      </c>
    </row>
    <row r="225" spans="5:6">
      <c r="E225" s="5">
        <v>537</v>
      </c>
      <c r="F225" s="6" t="s">
        <v>62</v>
      </c>
    </row>
    <row r="226" spans="5:6">
      <c r="E226" s="9">
        <v>539</v>
      </c>
      <c r="F226" s="10" t="s">
        <v>918</v>
      </c>
    </row>
    <row r="227" spans="5:6">
      <c r="E227" s="5">
        <v>541</v>
      </c>
      <c r="F227" s="6" t="s">
        <v>1029</v>
      </c>
    </row>
    <row r="228" spans="5:6">
      <c r="E228" s="9">
        <v>542</v>
      </c>
      <c r="F228" s="10" t="s">
        <v>1027</v>
      </c>
    </row>
    <row r="229" spans="5:6">
      <c r="E229" s="5">
        <v>543</v>
      </c>
      <c r="F229" s="6" t="s">
        <v>1030</v>
      </c>
    </row>
    <row r="230" spans="5:6">
      <c r="E230" s="9">
        <v>544</v>
      </c>
      <c r="F230" s="10" t="s">
        <v>1031</v>
      </c>
    </row>
    <row r="231" spans="5:6">
      <c r="E231" s="5">
        <v>545</v>
      </c>
      <c r="F231" s="6" t="s">
        <v>1028</v>
      </c>
    </row>
    <row r="232" spans="5:6">
      <c r="E232" s="9">
        <v>553</v>
      </c>
      <c r="F232" s="10" t="s">
        <v>847</v>
      </c>
    </row>
    <row r="233" spans="5:6">
      <c r="E233" s="5">
        <v>557</v>
      </c>
      <c r="F233" s="6" t="s">
        <v>1073</v>
      </c>
    </row>
    <row r="234" spans="5:6">
      <c r="E234" s="9">
        <v>558</v>
      </c>
      <c r="F234" s="10" t="s">
        <v>1085</v>
      </c>
    </row>
    <row r="235" spans="5:6">
      <c r="E235" s="5">
        <v>559</v>
      </c>
      <c r="F235" s="6" t="s">
        <v>365</v>
      </c>
    </row>
    <row r="236" spans="5:6">
      <c r="E236" s="9">
        <v>562</v>
      </c>
      <c r="F236" s="10" t="s">
        <v>366</v>
      </c>
    </row>
    <row r="237" spans="5:6">
      <c r="E237" s="5">
        <v>574</v>
      </c>
      <c r="F237" s="6" t="s">
        <v>1178</v>
      </c>
    </row>
    <row r="238" spans="5:6">
      <c r="E238" s="9">
        <v>581</v>
      </c>
      <c r="F238" s="10" t="s">
        <v>951</v>
      </c>
    </row>
    <row r="239" spans="5:6">
      <c r="E239" s="5">
        <v>591</v>
      </c>
      <c r="F239" s="6" t="s">
        <v>1180</v>
      </c>
    </row>
    <row r="240" spans="5:6">
      <c r="E240" s="9">
        <v>598</v>
      </c>
      <c r="F240" s="10" t="s">
        <v>1181</v>
      </c>
    </row>
    <row r="241" spans="5:6">
      <c r="E241" s="5">
        <v>599</v>
      </c>
      <c r="F241" s="6" t="s">
        <v>991</v>
      </c>
    </row>
    <row r="242" spans="5:6">
      <c r="E242" s="9">
        <v>600</v>
      </c>
      <c r="F242" s="10" t="s">
        <v>34</v>
      </c>
    </row>
    <row r="243" spans="5:6">
      <c r="E243" s="5">
        <v>606</v>
      </c>
      <c r="F243" s="6" t="s">
        <v>1174</v>
      </c>
    </row>
    <row r="244" spans="5:6">
      <c r="E244" s="9">
        <v>607</v>
      </c>
      <c r="F244" s="10" t="s">
        <v>1176</v>
      </c>
    </row>
    <row r="245" spans="5:6">
      <c r="E245" s="5">
        <v>608</v>
      </c>
      <c r="F245" s="6" t="s">
        <v>848</v>
      </c>
    </row>
    <row r="246" spans="5:6">
      <c r="E246" s="9">
        <v>624</v>
      </c>
      <c r="F246" s="10" t="s">
        <v>248</v>
      </c>
    </row>
    <row r="247" spans="5:6">
      <c r="E247" s="5">
        <v>626</v>
      </c>
      <c r="F247" s="6" t="s">
        <v>398</v>
      </c>
    </row>
    <row r="248" spans="5:6">
      <c r="E248" s="9">
        <v>627</v>
      </c>
      <c r="F248" s="10" t="s">
        <v>397</v>
      </c>
    </row>
    <row r="249" spans="5:6">
      <c r="E249" s="5">
        <v>628</v>
      </c>
      <c r="F249" s="6" t="s">
        <v>455</v>
      </c>
    </row>
    <row r="250" spans="5:6">
      <c r="E250" s="9">
        <v>630</v>
      </c>
      <c r="F250" s="10" t="s">
        <v>405</v>
      </c>
    </row>
    <row r="251" spans="5:6">
      <c r="E251" s="5">
        <v>631</v>
      </c>
      <c r="F251" s="6" t="s">
        <v>416</v>
      </c>
    </row>
    <row r="252" spans="5:6">
      <c r="E252" s="9">
        <v>632</v>
      </c>
      <c r="F252" s="10" t="s">
        <v>403</v>
      </c>
    </row>
    <row r="253" spans="5:6">
      <c r="E253" s="5">
        <v>633</v>
      </c>
      <c r="F253" s="6" t="s">
        <v>449</v>
      </c>
    </row>
    <row r="254" spans="5:6">
      <c r="E254" s="9">
        <v>634</v>
      </c>
      <c r="F254" s="10" t="s">
        <v>404</v>
      </c>
    </row>
    <row r="255" spans="5:6">
      <c r="E255" s="5">
        <v>635</v>
      </c>
      <c r="F255" s="6" t="s">
        <v>406</v>
      </c>
    </row>
    <row r="256" spans="5:6">
      <c r="E256" s="9">
        <v>636</v>
      </c>
      <c r="F256" s="10" t="s">
        <v>407</v>
      </c>
    </row>
    <row r="257" spans="5:6">
      <c r="E257" s="5">
        <v>638</v>
      </c>
      <c r="F257" s="6" t="s">
        <v>434</v>
      </c>
    </row>
    <row r="258" spans="5:6">
      <c r="E258" s="9">
        <v>639</v>
      </c>
      <c r="F258" s="10" t="s">
        <v>435</v>
      </c>
    </row>
    <row r="259" spans="5:6">
      <c r="E259" s="5">
        <v>640</v>
      </c>
      <c r="F259" s="6" t="s">
        <v>433</v>
      </c>
    </row>
    <row r="260" spans="5:6">
      <c r="E260" s="9">
        <v>641</v>
      </c>
      <c r="F260" s="10" t="s">
        <v>412</v>
      </c>
    </row>
    <row r="261" spans="5:6">
      <c r="E261" s="5">
        <v>642</v>
      </c>
      <c r="F261" s="6" t="s">
        <v>413</v>
      </c>
    </row>
    <row r="262" spans="5:6">
      <c r="E262" s="9">
        <v>643</v>
      </c>
      <c r="F262" s="10" t="s">
        <v>414</v>
      </c>
    </row>
    <row r="263" spans="5:6">
      <c r="E263" s="5">
        <v>644</v>
      </c>
      <c r="F263" s="6" t="s">
        <v>421</v>
      </c>
    </row>
    <row r="264" spans="5:6">
      <c r="E264" s="9">
        <v>645</v>
      </c>
      <c r="F264" s="10" t="s">
        <v>418</v>
      </c>
    </row>
    <row r="265" spans="5:6">
      <c r="E265" s="5">
        <v>646</v>
      </c>
      <c r="F265" s="6" t="s">
        <v>427</v>
      </c>
    </row>
    <row r="266" spans="5:6">
      <c r="E266" s="9">
        <v>647</v>
      </c>
      <c r="F266" s="10" t="s">
        <v>426</v>
      </c>
    </row>
    <row r="267" spans="5:6">
      <c r="E267" s="5">
        <v>648</v>
      </c>
      <c r="F267" s="6" t="s">
        <v>453</v>
      </c>
    </row>
    <row r="268" spans="5:6">
      <c r="E268" s="9">
        <v>649</v>
      </c>
      <c r="F268" s="10" t="s">
        <v>460</v>
      </c>
    </row>
    <row r="269" spans="5:6">
      <c r="E269" s="5">
        <v>651</v>
      </c>
      <c r="F269" s="6" t="s">
        <v>431</v>
      </c>
    </row>
    <row r="270" spans="5:6">
      <c r="E270" s="9">
        <v>652</v>
      </c>
      <c r="F270" s="10" t="s">
        <v>428</v>
      </c>
    </row>
    <row r="271" spans="5:6">
      <c r="E271" s="5">
        <v>653</v>
      </c>
      <c r="F271" s="6" t="s">
        <v>429</v>
      </c>
    </row>
    <row r="272" spans="5:6">
      <c r="E272" s="9">
        <v>654</v>
      </c>
      <c r="F272" s="10" t="s">
        <v>432</v>
      </c>
    </row>
    <row r="273" spans="5:6">
      <c r="E273" s="5">
        <v>655</v>
      </c>
      <c r="F273" s="6" t="s">
        <v>436</v>
      </c>
    </row>
    <row r="274" spans="5:6">
      <c r="E274" s="9">
        <v>656</v>
      </c>
      <c r="F274" s="10" t="s">
        <v>452</v>
      </c>
    </row>
    <row r="275" spans="5:6">
      <c r="E275" s="5">
        <v>657</v>
      </c>
      <c r="F275" s="6" t="s">
        <v>457</v>
      </c>
    </row>
    <row r="276" spans="5:6">
      <c r="E276" s="9">
        <v>658</v>
      </c>
      <c r="F276" s="10" t="s">
        <v>451</v>
      </c>
    </row>
    <row r="277" spans="5:6">
      <c r="E277" s="5">
        <v>659</v>
      </c>
      <c r="F277" s="6" t="s">
        <v>450</v>
      </c>
    </row>
    <row r="278" spans="5:6">
      <c r="E278" s="9">
        <v>660</v>
      </c>
      <c r="F278" s="10" t="s">
        <v>465</v>
      </c>
    </row>
    <row r="279" spans="5:6">
      <c r="E279" s="5">
        <v>661</v>
      </c>
      <c r="F279" s="6" t="s">
        <v>454</v>
      </c>
    </row>
    <row r="280" spans="5:6">
      <c r="E280" s="9">
        <v>662</v>
      </c>
      <c r="F280" s="10" t="s">
        <v>466</v>
      </c>
    </row>
    <row r="281" spans="5:6">
      <c r="E281" s="5">
        <v>663</v>
      </c>
      <c r="F281" s="6" t="s">
        <v>468</v>
      </c>
    </row>
    <row r="282" spans="5:6">
      <c r="E282" s="9">
        <v>664</v>
      </c>
      <c r="F282" s="10" t="s">
        <v>444</v>
      </c>
    </row>
    <row r="283" spans="5:6">
      <c r="E283" s="5">
        <v>665</v>
      </c>
      <c r="F283" s="6" t="s">
        <v>470</v>
      </c>
    </row>
    <row r="284" spans="5:6">
      <c r="E284" s="9">
        <v>666</v>
      </c>
      <c r="F284" s="10" t="s">
        <v>469</v>
      </c>
    </row>
    <row r="285" spans="5:6">
      <c r="E285" s="5">
        <v>667</v>
      </c>
      <c r="F285" s="6" t="s">
        <v>471</v>
      </c>
    </row>
    <row r="286" spans="5:6">
      <c r="E286" s="9">
        <v>668</v>
      </c>
      <c r="F286" s="10" t="s">
        <v>456</v>
      </c>
    </row>
    <row r="287" spans="5:6">
      <c r="E287" s="5">
        <v>669</v>
      </c>
      <c r="F287" s="6" t="s">
        <v>464</v>
      </c>
    </row>
    <row r="288" spans="5:6">
      <c r="E288" s="9">
        <v>670</v>
      </c>
      <c r="F288" s="10" t="s">
        <v>472</v>
      </c>
    </row>
    <row r="289" spans="5:6">
      <c r="E289" s="5">
        <v>671</v>
      </c>
      <c r="F289" s="6" t="s">
        <v>443</v>
      </c>
    </row>
    <row r="290" spans="5:6">
      <c r="E290" s="9">
        <v>672</v>
      </c>
      <c r="F290" s="10" t="s">
        <v>467</v>
      </c>
    </row>
    <row r="291" spans="5:6">
      <c r="E291" s="5">
        <v>673</v>
      </c>
      <c r="F291" s="6" t="s">
        <v>447</v>
      </c>
    </row>
    <row r="292" spans="5:6">
      <c r="E292" s="9">
        <v>674</v>
      </c>
      <c r="F292" s="10" t="s">
        <v>446</v>
      </c>
    </row>
    <row r="293" spans="5:6">
      <c r="E293" s="5">
        <v>677</v>
      </c>
      <c r="F293" s="6" t="s">
        <v>594</v>
      </c>
    </row>
    <row r="294" spans="5:6">
      <c r="E294" s="9">
        <v>678</v>
      </c>
      <c r="F294" s="10" t="s">
        <v>596</v>
      </c>
    </row>
    <row r="295" spans="5:6">
      <c r="E295" s="5">
        <v>679</v>
      </c>
      <c r="F295" s="6" t="s">
        <v>597</v>
      </c>
    </row>
    <row r="296" spans="5:6">
      <c r="E296" s="9">
        <v>682</v>
      </c>
      <c r="F296" s="10" t="s">
        <v>611</v>
      </c>
    </row>
    <row r="297" spans="5:6">
      <c r="E297" s="5">
        <v>683</v>
      </c>
      <c r="F297" s="6" t="s">
        <v>625</v>
      </c>
    </row>
    <row r="298" spans="5:6">
      <c r="E298" s="9">
        <v>687</v>
      </c>
      <c r="F298" s="10" t="s">
        <v>617</v>
      </c>
    </row>
    <row r="299" spans="5:6">
      <c r="E299" s="5">
        <v>688</v>
      </c>
      <c r="F299" s="6" t="s">
        <v>618</v>
      </c>
    </row>
    <row r="300" spans="5:6">
      <c r="E300" s="9">
        <v>689</v>
      </c>
      <c r="F300" s="10" t="s">
        <v>595</v>
      </c>
    </row>
    <row r="301" spans="5:6">
      <c r="E301" s="5">
        <v>690</v>
      </c>
      <c r="F301" s="6" t="s">
        <v>607</v>
      </c>
    </row>
    <row r="302" spans="5:6">
      <c r="E302" s="9">
        <v>691</v>
      </c>
      <c r="F302" s="10" t="s">
        <v>608</v>
      </c>
    </row>
    <row r="303" spans="5:6">
      <c r="E303" s="5">
        <v>692</v>
      </c>
      <c r="F303" s="6" t="s">
        <v>619</v>
      </c>
    </row>
    <row r="304" spans="5:6">
      <c r="E304" s="9">
        <v>693</v>
      </c>
      <c r="F304" s="10" t="s">
        <v>620</v>
      </c>
    </row>
    <row r="305" spans="5:6">
      <c r="E305" s="5">
        <v>694</v>
      </c>
      <c r="F305" s="6" t="s">
        <v>621</v>
      </c>
    </row>
    <row r="306" spans="5:6">
      <c r="E306" s="9">
        <v>695</v>
      </c>
      <c r="F306" s="10" t="s">
        <v>622</v>
      </c>
    </row>
    <row r="307" spans="5:6">
      <c r="E307" s="5">
        <v>696</v>
      </c>
      <c r="F307" s="6" t="s">
        <v>623</v>
      </c>
    </row>
    <row r="308" spans="5:6">
      <c r="E308" s="9">
        <v>697</v>
      </c>
      <c r="F308" s="10" t="s">
        <v>624</v>
      </c>
    </row>
    <row r="309" spans="5:6">
      <c r="E309" s="5">
        <v>698</v>
      </c>
      <c r="F309" s="6" t="s">
        <v>725</v>
      </c>
    </row>
    <row r="310" spans="5:6">
      <c r="E310" s="9">
        <v>699</v>
      </c>
      <c r="F310" s="10" t="s">
        <v>35</v>
      </c>
    </row>
    <row r="311" spans="5:6">
      <c r="E311" s="5">
        <v>711</v>
      </c>
      <c r="F311" s="6" t="s">
        <v>983</v>
      </c>
    </row>
    <row r="312" spans="5:6">
      <c r="E312" s="9">
        <v>715</v>
      </c>
      <c r="F312" s="10" t="s">
        <v>25</v>
      </c>
    </row>
    <row r="313" spans="5:6">
      <c r="E313" s="5">
        <v>718</v>
      </c>
      <c r="F313" s="6" t="s">
        <v>812</v>
      </c>
    </row>
    <row r="314" spans="5:6">
      <c r="E314" s="9">
        <v>719</v>
      </c>
      <c r="F314" s="10" t="s">
        <v>174</v>
      </c>
    </row>
    <row r="315" spans="5:6">
      <c r="E315" s="5">
        <v>720</v>
      </c>
      <c r="F315" s="6" t="s">
        <v>172</v>
      </c>
    </row>
    <row r="316" spans="5:6">
      <c r="E316" s="9">
        <v>721</v>
      </c>
      <c r="F316" s="10" t="s">
        <v>175</v>
      </c>
    </row>
    <row r="317" spans="5:6">
      <c r="E317" s="5">
        <v>722</v>
      </c>
      <c r="F317" s="6" t="s">
        <v>182</v>
      </c>
    </row>
    <row r="318" spans="5:6">
      <c r="E318" s="9">
        <v>723</v>
      </c>
      <c r="F318" s="10" t="s">
        <v>322</v>
      </c>
    </row>
    <row r="319" spans="5:6">
      <c r="E319" s="5">
        <v>724</v>
      </c>
      <c r="F319" s="6" t="s">
        <v>364</v>
      </c>
    </row>
    <row r="320" spans="5:6">
      <c r="E320" s="9">
        <v>725</v>
      </c>
      <c r="F320" s="10" t="s">
        <v>302</v>
      </c>
    </row>
    <row r="321" spans="5:6">
      <c r="E321" s="5">
        <v>729</v>
      </c>
      <c r="F321" s="6" t="s">
        <v>475</v>
      </c>
    </row>
    <row r="322" spans="5:6">
      <c r="E322" s="9">
        <v>730</v>
      </c>
      <c r="F322" s="10" t="s">
        <v>476</v>
      </c>
    </row>
    <row r="323" spans="5:6">
      <c r="E323" s="5">
        <v>731</v>
      </c>
      <c r="F323" s="6" t="s">
        <v>477</v>
      </c>
    </row>
    <row r="324" spans="5:6">
      <c r="E324" s="9">
        <v>732</v>
      </c>
      <c r="F324" s="10" t="s">
        <v>479</v>
      </c>
    </row>
    <row r="325" spans="5:6">
      <c r="E325" s="5">
        <v>733</v>
      </c>
      <c r="F325" s="6" t="s">
        <v>480</v>
      </c>
    </row>
    <row r="326" spans="5:6">
      <c r="E326" s="9">
        <v>734</v>
      </c>
      <c r="F326" s="10" t="s">
        <v>481</v>
      </c>
    </row>
    <row r="327" spans="5:6">
      <c r="E327" s="5">
        <v>735</v>
      </c>
      <c r="F327" s="6" t="s">
        <v>478</v>
      </c>
    </row>
    <row r="328" spans="5:6">
      <c r="E328" s="9">
        <v>736</v>
      </c>
      <c r="F328" s="10" t="s">
        <v>507</v>
      </c>
    </row>
    <row r="329" spans="5:6">
      <c r="E329" s="5">
        <v>737</v>
      </c>
      <c r="F329" s="6" t="s">
        <v>508</v>
      </c>
    </row>
    <row r="330" spans="5:6">
      <c r="E330" s="9">
        <v>738</v>
      </c>
      <c r="F330" s="10" t="s">
        <v>510</v>
      </c>
    </row>
    <row r="331" spans="5:6">
      <c r="E331" s="5">
        <v>739</v>
      </c>
      <c r="F331" s="6" t="s">
        <v>527</v>
      </c>
    </row>
    <row r="332" spans="5:6">
      <c r="E332" s="9">
        <v>740</v>
      </c>
      <c r="F332" s="10" t="s">
        <v>528</v>
      </c>
    </row>
    <row r="333" spans="5:6">
      <c r="E333" s="5">
        <v>741</v>
      </c>
      <c r="F333" s="6" t="s">
        <v>533</v>
      </c>
    </row>
    <row r="334" spans="5:6">
      <c r="E334" s="9">
        <v>742</v>
      </c>
      <c r="F334" s="10" t="s">
        <v>641</v>
      </c>
    </row>
    <row r="335" spans="5:6">
      <c r="E335" s="5">
        <v>746</v>
      </c>
      <c r="F335" s="6" t="s">
        <v>666</v>
      </c>
    </row>
    <row r="336" spans="5:6">
      <c r="E336" s="9">
        <v>748</v>
      </c>
      <c r="F336" s="10" t="s">
        <v>680</v>
      </c>
    </row>
    <row r="337" spans="5:6">
      <c r="E337" s="5">
        <v>749</v>
      </c>
      <c r="F337" s="6" t="s">
        <v>682</v>
      </c>
    </row>
    <row r="338" spans="5:6">
      <c r="E338" s="9">
        <v>751</v>
      </c>
      <c r="F338" s="10" t="s">
        <v>691</v>
      </c>
    </row>
    <row r="339" spans="5:6">
      <c r="E339" s="5">
        <v>752</v>
      </c>
      <c r="F339" s="6" t="s">
        <v>705</v>
      </c>
    </row>
    <row r="340" spans="5:6">
      <c r="E340" s="9">
        <v>753</v>
      </c>
      <c r="F340" s="10" t="s">
        <v>702</v>
      </c>
    </row>
    <row r="341" spans="5:6">
      <c r="E341" s="5">
        <v>754</v>
      </c>
      <c r="F341" s="6" t="s">
        <v>706</v>
      </c>
    </row>
    <row r="342" spans="5:6">
      <c r="E342" s="9">
        <v>755</v>
      </c>
      <c r="F342" s="10" t="s">
        <v>739</v>
      </c>
    </row>
    <row r="343" spans="5:6">
      <c r="E343" s="5">
        <v>756</v>
      </c>
      <c r="F343" s="6" t="s">
        <v>878</v>
      </c>
    </row>
    <row r="344" spans="5:6">
      <c r="E344" s="9">
        <v>757</v>
      </c>
      <c r="F344" s="10" t="s">
        <v>880</v>
      </c>
    </row>
    <row r="345" spans="5:6">
      <c r="E345" s="5">
        <v>758</v>
      </c>
      <c r="F345" s="6" t="s">
        <v>913</v>
      </c>
    </row>
    <row r="346" spans="5:6">
      <c r="E346" s="9">
        <v>759</v>
      </c>
      <c r="F346" s="10" t="s">
        <v>931</v>
      </c>
    </row>
    <row r="347" spans="5:6">
      <c r="E347" s="5">
        <v>760</v>
      </c>
      <c r="F347" s="6" t="s">
        <v>984</v>
      </c>
    </row>
    <row r="348" spans="5:6">
      <c r="E348" s="9">
        <v>761</v>
      </c>
      <c r="F348" s="10" t="s">
        <v>1065</v>
      </c>
    </row>
    <row r="349" spans="5:6">
      <c r="E349" s="5">
        <v>762</v>
      </c>
      <c r="F349" s="6" t="s">
        <v>1067</v>
      </c>
    </row>
    <row r="350" spans="5:6">
      <c r="E350" s="9">
        <v>764</v>
      </c>
      <c r="F350" s="10" t="s">
        <v>1102</v>
      </c>
    </row>
    <row r="351" spans="5:6">
      <c r="E351" s="5">
        <v>765</v>
      </c>
      <c r="F351" s="6" t="s">
        <v>1103</v>
      </c>
    </row>
    <row r="352" spans="5:6">
      <c r="E352" s="9">
        <v>766</v>
      </c>
      <c r="F352" s="10" t="s">
        <v>261</v>
      </c>
    </row>
    <row r="353" spans="5:6">
      <c r="E353" s="5">
        <v>768</v>
      </c>
      <c r="F353" s="6" t="s">
        <v>903</v>
      </c>
    </row>
    <row r="354" spans="5:6">
      <c r="E354" s="9">
        <v>769</v>
      </c>
      <c r="F354" s="10" t="s">
        <v>986</v>
      </c>
    </row>
    <row r="355" spans="5:6">
      <c r="E355" s="5">
        <v>770</v>
      </c>
      <c r="F355" s="6" t="s">
        <v>646</v>
      </c>
    </row>
    <row r="356" spans="5:6">
      <c r="E356" s="9">
        <v>772</v>
      </c>
      <c r="F356" s="10" t="s">
        <v>745</v>
      </c>
    </row>
    <row r="357" spans="5:6">
      <c r="E357" s="5">
        <v>773</v>
      </c>
      <c r="F357" s="6" t="s">
        <v>746</v>
      </c>
    </row>
    <row r="358" spans="5:6">
      <c r="E358" s="9">
        <v>774</v>
      </c>
      <c r="F358" s="10" t="s">
        <v>747</v>
      </c>
    </row>
    <row r="359" spans="5:6">
      <c r="E359" s="5">
        <v>775</v>
      </c>
      <c r="F359" s="6" t="s">
        <v>748</v>
      </c>
    </row>
    <row r="360" spans="5:6">
      <c r="E360" s="9">
        <v>776</v>
      </c>
      <c r="F360" s="10" t="s">
        <v>749</v>
      </c>
    </row>
    <row r="361" spans="5:6">
      <c r="E361" s="5">
        <v>777</v>
      </c>
      <c r="F361" s="6" t="s">
        <v>750</v>
      </c>
    </row>
    <row r="362" spans="5:6">
      <c r="E362" s="9">
        <v>778</v>
      </c>
      <c r="F362" s="10" t="s">
        <v>751</v>
      </c>
    </row>
    <row r="363" spans="5:6">
      <c r="E363" s="5">
        <v>779</v>
      </c>
      <c r="F363" s="6" t="s">
        <v>753</v>
      </c>
    </row>
    <row r="364" spans="5:6">
      <c r="E364" s="9">
        <v>780</v>
      </c>
      <c r="F364" s="10" t="s">
        <v>752</v>
      </c>
    </row>
    <row r="365" spans="5:6">
      <c r="E365" s="5">
        <v>781</v>
      </c>
      <c r="F365" s="6" t="s">
        <v>766</v>
      </c>
    </row>
    <row r="366" spans="5:6">
      <c r="E366" s="9">
        <v>784</v>
      </c>
      <c r="F366" s="10" t="s">
        <v>768</v>
      </c>
    </row>
    <row r="367" spans="5:6">
      <c r="E367" s="5">
        <v>785</v>
      </c>
      <c r="F367" s="6" t="s">
        <v>767</v>
      </c>
    </row>
    <row r="368" spans="5:6">
      <c r="E368" s="9">
        <v>787</v>
      </c>
      <c r="F368" s="10" t="s">
        <v>756</v>
      </c>
    </row>
    <row r="369" spans="5:6">
      <c r="E369" s="5">
        <v>788</v>
      </c>
      <c r="F369" s="6" t="s">
        <v>757</v>
      </c>
    </row>
    <row r="370" spans="5:6">
      <c r="E370" s="9">
        <v>790</v>
      </c>
      <c r="F370" s="10" t="s">
        <v>337</v>
      </c>
    </row>
    <row r="371" spans="5:6">
      <c r="E371" s="5">
        <v>793</v>
      </c>
      <c r="F371" s="6" t="s">
        <v>376</v>
      </c>
    </row>
    <row r="372" spans="5:6">
      <c r="E372" s="9">
        <v>798</v>
      </c>
      <c r="F372" s="10" t="s">
        <v>559</v>
      </c>
    </row>
    <row r="373" spans="5:6">
      <c r="E373" s="5">
        <v>799</v>
      </c>
      <c r="F373" s="6" t="s">
        <v>251</v>
      </c>
    </row>
    <row r="374" spans="5:6">
      <c r="E374" s="9">
        <v>800</v>
      </c>
      <c r="F374" s="10" t="s">
        <v>1078</v>
      </c>
    </row>
    <row r="375" spans="5:6">
      <c r="E375" s="5">
        <v>801</v>
      </c>
      <c r="F375" s="6" t="s">
        <v>263</v>
      </c>
    </row>
    <row r="376" spans="5:6">
      <c r="E376" s="9">
        <v>806</v>
      </c>
      <c r="F376" s="10" t="s">
        <v>729</v>
      </c>
    </row>
    <row r="377" spans="5:6">
      <c r="E377" s="5">
        <v>807</v>
      </c>
      <c r="F377" s="6" t="s">
        <v>730</v>
      </c>
    </row>
    <row r="378" spans="5:6">
      <c r="E378" s="9">
        <v>808</v>
      </c>
      <c r="F378" s="10" t="s">
        <v>811</v>
      </c>
    </row>
    <row r="379" spans="5:6">
      <c r="E379" s="5">
        <v>809</v>
      </c>
      <c r="F379" s="6" t="s">
        <v>830</v>
      </c>
    </row>
    <row r="380" spans="5:6">
      <c r="E380" s="9">
        <v>810</v>
      </c>
      <c r="F380" s="10" t="s">
        <v>831</v>
      </c>
    </row>
    <row r="381" spans="5:6">
      <c r="E381" s="5">
        <v>813</v>
      </c>
      <c r="F381" s="6" t="s">
        <v>851</v>
      </c>
    </row>
    <row r="382" spans="5:6">
      <c r="E382" s="9">
        <v>814</v>
      </c>
      <c r="F382" s="10" t="s">
        <v>854</v>
      </c>
    </row>
    <row r="383" spans="5:6">
      <c r="E383" s="5">
        <v>817</v>
      </c>
      <c r="F383" s="6" t="s">
        <v>633</v>
      </c>
    </row>
    <row r="384" spans="5:6">
      <c r="E384" s="9">
        <v>818</v>
      </c>
      <c r="F384" s="10" t="s">
        <v>627</v>
      </c>
    </row>
    <row r="385" spans="5:6">
      <c r="E385" s="5">
        <v>819</v>
      </c>
      <c r="F385" s="6" t="s">
        <v>628</v>
      </c>
    </row>
    <row r="386" spans="5:6">
      <c r="E386" s="9">
        <v>820</v>
      </c>
      <c r="F386" s="10" t="s">
        <v>458</v>
      </c>
    </row>
    <row r="387" spans="5:6">
      <c r="E387" s="5">
        <v>821</v>
      </c>
      <c r="F387" s="6" t="s">
        <v>459</v>
      </c>
    </row>
    <row r="388" spans="5:6">
      <c r="E388" s="9">
        <v>822</v>
      </c>
      <c r="F388" s="10" t="s">
        <v>415</v>
      </c>
    </row>
    <row r="389" spans="5:6">
      <c r="E389" s="5">
        <v>823</v>
      </c>
      <c r="F389" s="6" t="s">
        <v>411</v>
      </c>
    </row>
    <row r="390" spans="5:6">
      <c r="E390" s="9">
        <v>824</v>
      </c>
      <c r="F390" s="10" t="s">
        <v>408</v>
      </c>
    </row>
    <row r="391" spans="5:6">
      <c r="E391" s="5">
        <v>825</v>
      </c>
      <c r="F391" s="6" t="s">
        <v>409</v>
      </c>
    </row>
    <row r="392" spans="5:6">
      <c r="E392" s="9">
        <v>826</v>
      </c>
      <c r="F392" s="10" t="s">
        <v>410</v>
      </c>
    </row>
    <row r="393" spans="5:6">
      <c r="E393" s="5">
        <v>827</v>
      </c>
      <c r="F393" s="6" t="s">
        <v>425</v>
      </c>
    </row>
    <row r="394" spans="5:6">
      <c r="E394" s="9">
        <v>828</v>
      </c>
      <c r="F394" s="10" t="s">
        <v>423</v>
      </c>
    </row>
    <row r="395" spans="5:6">
      <c r="E395" s="5">
        <v>829</v>
      </c>
      <c r="F395" s="6" t="s">
        <v>424</v>
      </c>
    </row>
    <row r="396" spans="5:6">
      <c r="E396" s="9">
        <v>830</v>
      </c>
      <c r="F396" s="10" t="s">
        <v>437</v>
      </c>
    </row>
    <row r="397" spans="5:6">
      <c r="E397" s="5">
        <v>831</v>
      </c>
      <c r="F397" s="6" t="s">
        <v>430</v>
      </c>
    </row>
    <row r="398" spans="5:6">
      <c r="E398" s="9">
        <v>832</v>
      </c>
      <c r="F398" s="10" t="s">
        <v>442</v>
      </c>
    </row>
    <row r="399" spans="5:6">
      <c r="E399" s="5">
        <v>833</v>
      </c>
      <c r="F399" s="6" t="s">
        <v>448</v>
      </c>
    </row>
    <row r="400" spans="5:6">
      <c r="E400" s="9">
        <v>834</v>
      </c>
      <c r="F400" s="10" t="s">
        <v>440</v>
      </c>
    </row>
    <row r="401" spans="5:6">
      <c r="E401" s="5">
        <v>835</v>
      </c>
      <c r="F401" s="6" t="s">
        <v>438</v>
      </c>
    </row>
    <row r="402" spans="5:6">
      <c r="E402" s="9">
        <v>836</v>
      </c>
      <c r="F402" s="10" t="s">
        <v>439</v>
      </c>
    </row>
    <row r="403" spans="5:6">
      <c r="E403" s="5">
        <v>837</v>
      </c>
      <c r="F403" s="6" t="s">
        <v>445</v>
      </c>
    </row>
    <row r="404" spans="5:6">
      <c r="E404" s="9">
        <v>839</v>
      </c>
      <c r="F404" s="10" t="s">
        <v>723</v>
      </c>
    </row>
    <row r="405" spans="5:6">
      <c r="E405" s="5">
        <v>841</v>
      </c>
      <c r="F405" s="6" t="s">
        <v>897</v>
      </c>
    </row>
    <row r="406" spans="5:6">
      <c r="E406" s="9">
        <v>842</v>
      </c>
      <c r="F406" s="10" t="s">
        <v>891</v>
      </c>
    </row>
    <row r="407" spans="5:6">
      <c r="E407" s="5">
        <v>843</v>
      </c>
      <c r="F407" s="6" t="s">
        <v>20</v>
      </c>
    </row>
    <row r="408" spans="5:6">
      <c r="E408" s="9">
        <v>844</v>
      </c>
      <c r="F408" s="10" t="s">
        <v>21</v>
      </c>
    </row>
    <row r="409" spans="5:6">
      <c r="E409" s="5">
        <v>845</v>
      </c>
      <c r="F409" s="6" t="s">
        <v>22</v>
      </c>
    </row>
    <row r="410" spans="5:6">
      <c r="E410" s="9">
        <v>846</v>
      </c>
      <c r="F410" s="10" t="s">
        <v>488</v>
      </c>
    </row>
    <row r="411" spans="5:6">
      <c r="E411" s="5">
        <v>847</v>
      </c>
      <c r="F411" s="6" t="s">
        <v>29</v>
      </c>
    </row>
    <row r="412" spans="5:6">
      <c r="E412" s="9">
        <v>849</v>
      </c>
      <c r="F412" s="10" t="s">
        <v>28</v>
      </c>
    </row>
    <row r="413" spans="5:6">
      <c r="E413" s="5">
        <v>850</v>
      </c>
      <c r="F413" s="6" t="s">
        <v>36</v>
      </c>
    </row>
    <row r="414" spans="5:6">
      <c r="E414" s="9">
        <v>851</v>
      </c>
      <c r="F414" s="10" t="s">
        <v>72</v>
      </c>
    </row>
    <row r="415" spans="5:6">
      <c r="E415" s="5">
        <v>852</v>
      </c>
      <c r="F415" s="6" t="s">
        <v>73</v>
      </c>
    </row>
    <row r="416" spans="5:6">
      <c r="E416" s="9">
        <v>853</v>
      </c>
      <c r="F416" s="10" t="s">
        <v>74</v>
      </c>
    </row>
    <row r="417" spans="5:6">
      <c r="E417" s="5">
        <v>854</v>
      </c>
      <c r="F417" s="6" t="s">
        <v>232</v>
      </c>
    </row>
    <row r="418" spans="5:6">
      <c r="E418" s="9">
        <v>855</v>
      </c>
      <c r="F418" s="10" t="s">
        <v>76</v>
      </c>
    </row>
    <row r="419" spans="5:6">
      <c r="E419" s="5">
        <v>856</v>
      </c>
      <c r="F419" s="6" t="s">
        <v>77</v>
      </c>
    </row>
    <row r="420" spans="5:6">
      <c r="E420" s="9">
        <v>857</v>
      </c>
      <c r="F420" s="10" t="s">
        <v>78</v>
      </c>
    </row>
    <row r="421" spans="5:6">
      <c r="E421" s="5">
        <v>858</v>
      </c>
      <c r="F421" s="6" t="s">
        <v>79</v>
      </c>
    </row>
    <row r="422" spans="5:6">
      <c r="E422" s="9">
        <v>859</v>
      </c>
      <c r="F422" s="10" t="s">
        <v>81</v>
      </c>
    </row>
    <row r="423" spans="5:6">
      <c r="E423" s="5">
        <v>860</v>
      </c>
      <c r="F423" s="6" t="s">
        <v>82</v>
      </c>
    </row>
    <row r="424" spans="5:6">
      <c r="E424" s="9">
        <v>861</v>
      </c>
      <c r="F424" s="10" t="s">
        <v>109</v>
      </c>
    </row>
    <row r="425" spans="5:6">
      <c r="E425" s="5">
        <v>862</v>
      </c>
      <c r="F425" s="6" t="s">
        <v>110</v>
      </c>
    </row>
    <row r="426" spans="5:6" ht="30">
      <c r="E426" s="9">
        <v>864</v>
      </c>
      <c r="F426" s="10" t="s">
        <v>112</v>
      </c>
    </row>
    <row r="427" spans="5:6">
      <c r="E427" s="5">
        <v>865</v>
      </c>
      <c r="F427" s="6" t="s">
        <v>113</v>
      </c>
    </row>
    <row r="428" spans="5:6">
      <c r="E428" s="9">
        <v>866</v>
      </c>
      <c r="F428" s="10" t="s">
        <v>171</v>
      </c>
    </row>
    <row r="429" spans="5:6" ht="30">
      <c r="E429" s="5">
        <v>867</v>
      </c>
      <c r="F429" s="6" t="s">
        <v>169</v>
      </c>
    </row>
    <row r="430" spans="5:6">
      <c r="E430" s="9">
        <v>868</v>
      </c>
      <c r="F430" s="10" t="s">
        <v>222</v>
      </c>
    </row>
    <row r="431" spans="5:6">
      <c r="E431" s="5">
        <v>870</v>
      </c>
      <c r="F431" s="6" t="s">
        <v>226</v>
      </c>
    </row>
    <row r="432" spans="5:6">
      <c r="E432" s="9">
        <v>871</v>
      </c>
      <c r="F432" s="10" t="s">
        <v>227</v>
      </c>
    </row>
    <row r="433" spans="5:6">
      <c r="E433" s="5">
        <v>872</v>
      </c>
      <c r="F433" s="6" t="s">
        <v>1150</v>
      </c>
    </row>
    <row r="434" spans="5:6">
      <c r="E434" s="9">
        <v>873</v>
      </c>
      <c r="F434" s="10" t="s">
        <v>249</v>
      </c>
    </row>
    <row r="435" spans="5:6">
      <c r="E435" s="5">
        <v>874</v>
      </c>
      <c r="F435" s="6" t="s">
        <v>250</v>
      </c>
    </row>
    <row r="436" spans="5:6">
      <c r="E436" s="9">
        <v>875</v>
      </c>
      <c r="F436" s="10" t="s">
        <v>264</v>
      </c>
    </row>
    <row r="437" spans="5:6">
      <c r="E437" s="5">
        <v>876</v>
      </c>
      <c r="F437" s="6" t="s">
        <v>265</v>
      </c>
    </row>
    <row r="438" spans="5:6">
      <c r="E438" s="9">
        <v>877</v>
      </c>
      <c r="F438" s="10" t="s">
        <v>1139</v>
      </c>
    </row>
    <row r="439" spans="5:6">
      <c r="E439" s="5">
        <v>878</v>
      </c>
      <c r="F439" s="6" t="s">
        <v>274</v>
      </c>
    </row>
    <row r="440" spans="5:6">
      <c r="E440" s="9">
        <v>879</v>
      </c>
      <c r="F440" s="10" t="s">
        <v>289</v>
      </c>
    </row>
    <row r="441" spans="5:6">
      <c r="E441" s="5">
        <v>880</v>
      </c>
      <c r="F441" s="6" t="s">
        <v>290</v>
      </c>
    </row>
    <row r="442" spans="5:6">
      <c r="E442" s="9">
        <v>881</v>
      </c>
      <c r="F442" s="10" t="s">
        <v>291</v>
      </c>
    </row>
    <row r="443" spans="5:6">
      <c r="E443" s="5">
        <v>882</v>
      </c>
      <c r="F443" s="6" t="s">
        <v>293</v>
      </c>
    </row>
    <row r="444" spans="5:6">
      <c r="E444" s="9">
        <v>883</v>
      </c>
      <c r="F444" s="10" t="s">
        <v>292</v>
      </c>
    </row>
    <row r="445" spans="5:6">
      <c r="E445" s="5">
        <v>884</v>
      </c>
      <c r="F445" s="6" t="s">
        <v>294</v>
      </c>
    </row>
    <row r="446" spans="5:6">
      <c r="E446" s="9">
        <v>885</v>
      </c>
      <c r="F446" s="10" t="s">
        <v>296</v>
      </c>
    </row>
    <row r="447" spans="5:6">
      <c r="E447" s="5">
        <v>886</v>
      </c>
      <c r="F447" s="6" t="s">
        <v>297</v>
      </c>
    </row>
    <row r="448" spans="5:6">
      <c r="E448" s="9">
        <v>887</v>
      </c>
      <c r="F448" s="10" t="s">
        <v>300</v>
      </c>
    </row>
    <row r="449" spans="5:6">
      <c r="E449" s="5">
        <v>888</v>
      </c>
      <c r="F449" s="6" t="s">
        <v>301</v>
      </c>
    </row>
    <row r="450" spans="5:6">
      <c r="E450" s="9">
        <v>889</v>
      </c>
      <c r="F450" s="10" t="s">
        <v>298</v>
      </c>
    </row>
    <row r="451" spans="5:6">
      <c r="E451" s="5">
        <v>891</v>
      </c>
      <c r="F451" s="6" t="s">
        <v>233</v>
      </c>
    </row>
    <row r="452" spans="5:6">
      <c r="E452" s="9">
        <v>892</v>
      </c>
      <c r="F452" s="10" t="s">
        <v>307</v>
      </c>
    </row>
    <row r="453" spans="5:6">
      <c r="E453" s="5">
        <v>893</v>
      </c>
      <c r="F453" s="6" t="s">
        <v>308</v>
      </c>
    </row>
    <row r="454" spans="5:6">
      <c r="E454" s="9">
        <v>894</v>
      </c>
      <c r="F454" s="10" t="s">
        <v>309</v>
      </c>
    </row>
    <row r="455" spans="5:6">
      <c r="E455" s="5">
        <v>895</v>
      </c>
      <c r="F455" s="6" t="s">
        <v>311</v>
      </c>
    </row>
    <row r="456" spans="5:6">
      <c r="E456" s="9">
        <v>896</v>
      </c>
      <c r="F456" s="10" t="s">
        <v>310</v>
      </c>
    </row>
    <row r="457" spans="5:6">
      <c r="E457" s="5">
        <v>897</v>
      </c>
      <c r="F457" s="6" t="s">
        <v>389</v>
      </c>
    </row>
    <row r="458" spans="5:6">
      <c r="E458" s="9">
        <v>898</v>
      </c>
      <c r="F458" s="10" t="s">
        <v>388</v>
      </c>
    </row>
    <row r="459" spans="5:6">
      <c r="E459" s="5">
        <v>899</v>
      </c>
      <c r="F459" s="6" t="s">
        <v>385</v>
      </c>
    </row>
    <row r="460" spans="5:6">
      <c r="E460" s="9">
        <v>900</v>
      </c>
      <c r="F460" s="10" t="s">
        <v>390</v>
      </c>
    </row>
    <row r="461" spans="5:6">
      <c r="E461" s="5">
        <v>901</v>
      </c>
      <c r="F461" s="6" t="s">
        <v>392</v>
      </c>
    </row>
    <row r="462" spans="5:6">
      <c r="E462" s="9">
        <v>902</v>
      </c>
      <c r="F462" s="10" t="s">
        <v>393</v>
      </c>
    </row>
    <row r="463" spans="5:6">
      <c r="E463" s="5">
        <v>903</v>
      </c>
      <c r="F463" s="6" t="s">
        <v>391</v>
      </c>
    </row>
    <row r="464" spans="5:6">
      <c r="E464" s="9">
        <v>904</v>
      </c>
      <c r="F464" s="10" t="s">
        <v>474</v>
      </c>
    </row>
    <row r="465" spans="5:6">
      <c r="E465" s="5">
        <v>905</v>
      </c>
      <c r="F465" s="6" t="s">
        <v>484</v>
      </c>
    </row>
    <row r="466" spans="5:6">
      <c r="E466" s="9">
        <v>906</v>
      </c>
      <c r="F466" s="10" t="s">
        <v>485</v>
      </c>
    </row>
    <row r="467" spans="5:6">
      <c r="E467" s="5">
        <v>907</v>
      </c>
      <c r="F467" s="6" t="s">
        <v>1143</v>
      </c>
    </row>
    <row r="468" spans="5:6">
      <c r="E468" s="9">
        <v>908</v>
      </c>
      <c r="F468" s="10" t="s">
        <v>496</v>
      </c>
    </row>
    <row r="469" spans="5:6">
      <c r="E469" s="5">
        <v>909</v>
      </c>
      <c r="F469" s="6" t="s">
        <v>497</v>
      </c>
    </row>
    <row r="470" spans="5:6">
      <c r="E470" s="9">
        <v>911</v>
      </c>
      <c r="F470" s="10" t="s">
        <v>506</v>
      </c>
    </row>
    <row r="471" spans="5:6">
      <c r="E471" s="5">
        <v>912</v>
      </c>
      <c r="F471" s="6" t="s">
        <v>511</v>
      </c>
    </row>
    <row r="472" spans="5:6">
      <c r="E472" s="9">
        <v>913</v>
      </c>
      <c r="F472" s="10" t="s">
        <v>529</v>
      </c>
    </row>
    <row r="473" spans="5:6">
      <c r="E473" s="5">
        <v>914</v>
      </c>
      <c r="F473" s="6" t="s">
        <v>1145</v>
      </c>
    </row>
    <row r="474" spans="5:6">
      <c r="E474" s="9">
        <v>915</v>
      </c>
      <c r="F474" s="10" t="s">
        <v>537</v>
      </c>
    </row>
    <row r="475" spans="5:6">
      <c r="E475" s="5">
        <v>916</v>
      </c>
      <c r="F475" s="6" t="s">
        <v>538</v>
      </c>
    </row>
    <row r="476" spans="5:6">
      <c r="E476" s="9">
        <v>917</v>
      </c>
      <c r="F476" s="10" t="s">
        <v>539</v>
      </c>
    </row>
    <row r="477" spans="5:6" ht="30">
      <c r="E477" s="5">
        <v>918</v>
      </c>
      <c r="F477" s="6" t="s">
        <v>541</v>
      </c>
    </row>
    <row r="478" spans="5:6">
      <c r="E478" s="9">
        <v>919</v>
      </c>
      <c r="F478" s="10" t="s">
        <v>543</v>
      </c>
    </row>
    <row r="479" spans="5:6">
      <c r="E479" s="5">
        <v>920</v>
      </c>
      <c r="F479" s="6" t="s">
        <v>542</v>
      </c>
    </row>
    <row r="480" spans="5:6">
      <c r="E480" s="9">
        <v>921</v>
      </c>
      <c r="F480" s="10" t="s">
        <v>545</v>
      </c>
    </row>
    <row r="481" spans="5:6">
      <c r="E481" s="5">
        <v>922</v>
      </c>
      <c r="F481" s="6" t="s">
        <v>234</v>
      </c>
    </row>
    <row r="482" spans="5:6">
      <c r="E482" s="9">
        <v>923</v>
      </c>
      <c r="F482" s="10" t="s">
        <v>549</v>
      </c>
    </row>
    <row r="483" spans="5:6">
      <c r="E483" s="5">
        <v>924</v>
      </c>
      <c r="F483" s="6" t="s">
        <v>550</v>
      </c>
    </row>
    <row r="484" spans="5:6">
      <c r="E484" s="9">
        <v>925</v>
      </c>
      <c r="F484" s="10" t="s">
        <v>235</v>
      </c>
    </row>
    <row r="485" spans="5:6">
      <c r="E485" s="5">
        <v>926</v>
      </c>
      <c r="F485" s="6" t="s">
        <v>554</v>
      </c>
    </row>
    <row r="486" spans="5:6" ht="30">
      <c r="E486" s="9">
        <v>927</v>
      </c>
      <c r="F486" s="10" t="s">
        <v>634</v>
      </c>
    </row>
    <row r="487" spans="5:6">
      <c r="E487" s="5">
        <v>928</v>
      </c>
      <c r="F487" s="6" t="s">
        <v>635</v>
      </c>
    </row>
    <row r="488" spans="5:6">
      <c r="E488" s="9">
        <v>929</v>
      </c>
      <c r="F488" s="10" t="s">
        <v>636</v>
      </c>
    </row>
    <row r="489" spans="5:6" ht="30">
      <c r="E489" s="5">
        <v>931</v>
      </c>
      <c r="F489" s="6" t="s">
        <v>236</v>
      </c>
    </row>
    <row r="490" spans="5:6">
      <c r="E490" s="9">
        <v>932</v>
      </c>
      <c r="F490" s="10" t="s">
        <v>642</v>
      </c>
    </row>
    <row r="491" spans="5:6">
      <c r="E491" s="5">
        <v>933</v>
      </c>
      <c r="F491" s="6" t="s">
        <v>643</v>
      </c>
    </row>
    <row r="492" spans="5:6">
      <c r="E492" s="9">
        <v>935</v>
      </c>
      <c r="F492" s="10" t="s">
        <v>649</v>
      </c>
    </row>
    <row r="493" spans="5:6">
      <c r="E493" s="5">
        <v>936</v>
      </c>
      <c r="F493" s="6" t="s">
        <v>650</v>
      </c>
    </row>
    <row r="494" spans="5:6">
      <c r="E494" s="9">
        <v>937</v>
      </c>
      <c r="F494" s="10" t="s">
        <v>237</v>
      </c>
    </row>
    <row r="495" spans="5:6">
      <c r="E495" s="5">
        <v>938</v>
      </c>
      <c r="F495" s="6" t="s">
        <v>239</v>
      </c>
    </row>
    <row r="496" spans="5:6">
      <c r="E496" s="9">
        <v>939</v>
      </c>
      <c r="F496" s="10" t="s">
        <v>238</v>
      </c>
    </row>
    <row r="497" spans="5:6">
      <c r="E497" s="5">
        <v>940</v>
      </c>
      <c r="F497" s="6" t="s">
        <v>675</v>
      </c>
    </row>
    <row r="498" spans="5:6">
      <c r="E498" s="9">
        <v>941</v>
      </c>
      <c r="F498" s="10" t="s">
        <v>676</v>
      </c>
    </row>
    <row r="499" spans="5:6" ht="30">
      <c r="E499" s="5">
        <v>942</v>
      </c>
      <c r="F499" s="6" t="s">
        <v>677</v>
      </c>
    </row>
    <row r="500" spans="5:6">
      <c r="E500" s="9">
        <v>943</v>
      </c>
      <c r="F500" s="10" t="s">
        <v>678</v>
      </c>
    </row>
    <row r="501" spans="5:6">
      <c r="E501" s="5">
        <v>944</v>
      </c>
      <c r="F501" s="6" t="s">
        <v>697</v>
      </c>
    </row>
    <row r="502" spans="5:6">
      <c r="E502" s="9">
        <v>946</v>
      </c>
      <c r="F502" s="10" t="s">
        <v>698</v>
      </c>
    </row>
    <row r="503" spans="5:6">
      <c r="E503" s="5">
        <v>947</v>
      </c>
      <c r="F503" s="6" t="s">
        <v>710</v>
      </c>
    </row>
    <row r="504" spans="5:6">
      <c r="E504" s="9">
        <v>948</v>
      </c>
      <c r="F504" s="10" t="s">
        <v>721</v>
      </c>
    </row>
    <row r="505" spans="5:6">
      <c r="E505" s="5">
        <v>949</v>
      </c>
      <c r="F505" s="6" t="s">
        <v>736</v>
      </c>
    </row>
    <row r="506" spans="5:6">
      <c r="E506" s="9">
        <v>950</v>
      </c>
      <c r="F506" s="10" t="s">
        <v>1151</v>
      </c>
    </row>
    <row r="507" spans="5:6">
      <c r="E507" s="5">
        <v>952</v>
      </c>
      <c r="F507" s="6" t="s">
        <v>741</v>
      </c>
    </row>
    <row r="508" spans="5:6">
      <c r="E508" s="9">
        <v>953</v>
      </c>
      <c r="F508" s="10" t="s">
        <v>779</v>
      </c>
    </row>
    <row r="509" spans="5:6">
      <c r="E509" s="5">
        <v>954</v>
      </c>
      <c r="F509" s="6" t="s">
        <v>778</v>
      </c>
    </row>
    <row r="510" spans="5:6">
      <c r="E510" s="9">
        <v>955</v>
      </c>
      <c r="F510" s="10" t="s">
        <v>780</v>
      </c>
    </row>
    <row r="511" spans="5:6">
      <c r="E511" s="5">
        <v>957</v>
      </c>
      <c r="F511" s="6" t="s">
        <v>781</v>
      </c>
    </row>
    <row r="512" spans="5:6">
      <c r="E512" s="9">
        <v>958</v>
      </c>
      <c r="F512" s="10" t="s">
        <v>240</v>
      </c>
    </row>
    <row r="513" spans="5:6">
      <c r="E513" s="5">
        <v>959</v>
      </c>
      <c r="F513" s="6" t="s">
        <v>809</v>
      </c>
    </row>
    <row r="514" spans="5:6">
      <c r="E514" s="9">
        <v>960</v>
      </c>
      <c r="F514" s="10" t="s">
        <v>810</v>
      </c>
    </row>
    <row r="515" spans="5:6">
      <c r="E515" s="5">
        <v>961</v>
      </c>
      <c r="F515" s="6" t="s">
        <v>814</v>
      </c>
    </row>
    <row r="516" spans="5:6">
      <c r="E516" s="9">
        <v>962</v>
      </c>
      <c r="F516" s="10" t="s">
        <v>815</v>
      </c>
    </row>
    <row r="517" spans="5:6">
      <c r="E517" s="5">
        <v>963</v>
      </c>
      <c r="F517" s="6" t="s">
        <v>816</v>
      </c>
    </row>
    <row r="518" spans="5:6">
      <c r="E518" s="9">
        <v>964</v>
      </c>
      <c r="F518" s="10" t="s">
        <v>818</v>
      </c>
    </row>
    <row r="519" spans="5:6">
      <c r="E519" s="5">
        <v>965</v>
      </c>
      <c r="F519" s="6" t="s">
        <v>819</v>
      </c>
    </row>
    <row r="520" spans="5:6">
      <c r="E520" s="9">
        <v>966</v>
      </c>
      <c r="F520" s="10" t="s">
        <v>823</v>
      </c>
    </row>
    <row r="521" spans="5:6">
      <c r="E521" s="5">
        <v>967</v>
      </c>
      <c r="F521" s="6" t="s">
        <v>824</v>
      </c>
    </row>
    <row r="522" spans="5:6">
      <c r="E522" s="9">
        <v>969</v>
      </c>
      <c r="F522" s="10" t="s">
        <v>826</v>
      </c>
    </row>
    <row r="523" spans="5:6">
      <c r="E523" s="5">
        <v>970</v>
      </c>
      <c r="F523" s="6" t="s">
        <v>825</v>
      </c>
    </row>
    <row r="524" spans="5:6">
      <c r="E524" s="9">
        <v>971</v>
      </c>
      <c r="F524" s="10" t="s">
        <v>828</v>
      </c>
    </row>
    <row r="525" spans="5:6">
      <c r="E525" s="5">
        <v>972</v>
      </c>
      <c r="F525" s="6" t="s">
        <v>832</v>
      </c>
    </row>
    <row r="526" spans="5:6">
      <c r="E526" s="9">
        <v>973</v>
      </c>
      <c r="F526" s="10" t="s">
        <v>833</v>
      </c>
    </row>
    <row r="527" spans="5:6">
      <c r="E527" s="5">
        <v>974</v>
      </c>
      <c r="F527" s="6" t="s">
        <v>241</v>
      </c>
    </row>
    <row r="528" spans="5:6">
      <c r="E528" s="9">
        <v>975</v>
      </c>
      <c r="F528" s="10" t="s">
        <v>836</v>
      </c>
    </row>
    <row r="529" spans="5:6">
      <c r="E529" s="5">
        <v>976</v>
      </c>
      <c r="F529" s="6" t="s">
        <v>839</v>
      </c>
    </row>
    <row r="530" spans="5:6">
      <c r="E530" s="9">
        <v>977</v>
      </c>
      <c r="F530" s="10" t="s">
        <v>840</v>
      </c>
    </row>
    <row r="531" spans="5:6">
      <c r="E531" s="5">
        <v>978</v>
      </c>
      <c r="F531" s="6" t="s">
        <v>842</v>
      </c>
    </row>
    <row r="532" spans="5:6">
      <c r="E532" s="9">
        <v>979</v>
      </c>
      <c r="F532" s="10" t="s">
        <v>838</v>
      </c>
    </row>
    <row r="533" spans="5:6">
      <c r="E533" s="5">
        <v>980</v>
      </c>
      <c r="F533" s="6" t="s">
        <v>846</v>
      </c>
    </row>
    <row r="534" spans="5:6" ht="30">
      <c r="E534" s="9">
        <v>981</v>
      </c>
      <c r="F534" s="10" t="s">
        <v>894</v>
      </c>
    </row>
    <row r="535" spans="5:6">
      <c r="E535" s="5">
        <v>982</v>
      </c>
      <c r="F535" s="6" t="s">
        <v>892</v>
      </c>
    </row>
    <row r="536" spans="5:6">
      <c r="E536" s="9">
        <v>983</v>
      </c>
      <c r="F536" s="10" t="s">
        <v>893</v>
      </c>
    </row>
    <row r="537" spans="5:6">
      <c r="E537" s="5">
        <v>984</v>
      </c>
      <c r="F537" s="6" t="s">
        <v>895</v>
      </c>
    </row>
    <row r="538" spans="5:6">
      <c r="E538" s="9">
        <v>985</v>
      </c>
      <c r="F538" s="10" t="s">
        <v>900</v>
      </c>
    </row>
    <row r="539" spans="5:6">
      <c r="E539" s="5">
        <v>986</v>
      </c>
      <c r="F539" s="6" t="s">
        <v>899</v>
      </c>
    </row>
    <row r="540" spans="5:6">
      <c r="E540" s="9">
        <v>987</v>
      </c>
      <c r="F540" s="10" t="s">
        <v>901</v>
      </c>
    </row>
    <row r="541" spans="5:6">
      <c r="E541" s="5">
        <v>988</v>
      </c>
      <c r="F541" s="6" t="s">
        <v>905</v>
      </c>
    </row>
    <row r="542" spans="5:6">
      <c r="E542" s="9">
        <v>989</v>
      </c>
      <c r="F542" s="10" t="s">
        <v>916</v>
      </c>
    </row>
    <row r="543" spans="5:6">
      <c r="E543" s="5">
        <v>990</v>
      </c>
      <c r="F543" s="6" t="s">
        <v>917</v>
      </c>
    </row>
    <row r="544" spans="5:6">
      <c r="E544" s="9">
        <v>991</v>
      </c>
      <c r="F544" s="10" t="s">
        <v>925</v>
      </c>
    </row>
    <row r="545" spans="5:6">
      <c r="E545" s="5">
        <v>992</v>
      </c>
      <c r="F545" s="6" t="s">
        <v>926</v>
      </c>
    </row>
    <row r="546" spans="5:6">
      <c r="E546" s="9">
        <v>994</v>
      </c>
      <c r="F546" s="10" t="s">
        <v>937</v>
      </c>
    </row>
    <row r="547" spans="5:6">
      <c r="E547" s="5">
        <v>995</v>
      </c>
      <c r="F547" s="6" t="s">
        <v>936</v>
      </c>
    </row>
    <row r="548" spans="5:6">
      <c r="E548" s="9">
        <v>996</v>
      </c>
      <c r="F548" s="10" t="s">
        <v>935</v>
      </c>
    </row>
    <row r="549" spans="5:6">
      <c r="E549" s="5">
        <v>997</v>
      </c>
      <c r="F549" s="6" t="s">
        <v>242</v>
      </c>
    </row>
    <row r="550" spans="5:6">
      <c r="E550" s="9">
        <v>998</v>
      </c>
      <c r="F550" s="10" t="s">
        <v>941</v>
      </c>
    </row>
    <row r="551" spans="5:6" ht="30">
      <c r="E551" s="5">
        <v>1000</v>
      </c>
      <c r="F551" s="6" t="s">
        <v>940</v>
      </c>
    </row>
    <row r="552" spans="5:6">
      <c r="E552" s="9">
        <v>1001</v>
      </c>
      <c r="F552" s="10" t="s">
        <v>970</v>
      </c>
    </row>
    <row r="553" spans="5:6">
      <c r="E553" s="5">
        <v>1002</v>
      </c>
      <c r="F553" s="6" t="s">
        <v>971</v>
      </c>
    </row>
    <row r="554" spans="5:6">
      <c r="E554" s="9">
        <v>1003</v>
      </c>
      <c r="F554" s="10" t="s">
        <v>989</v>
      </c>
    </row>
    <row r="555" spans="5:6">
      <c r="E555" s="5">
        <v>1004</v>
      </c>
      <c r="F555" s="6" t="s">
        <v>988</v>
      </c>
    </row>
    <row r="556" spans="5:6">
      <c r="E556" s="9">
        <v>1005</v>
      </c>
      <c r="F556" s="10" t="s">
        <v>997</v>
      </c>
    </row>
    <row r="557" spans="5:6">
      <c r="E557" s="5">
        <v>1006</v>
      </c>
      <c r="F557" s="6" t="s">
        <v>243</v>
      </c>
    </row>
    <row r="558" spans="5:6" ht="30">
      <c r="E558" s="9">
        <v>1007</v>
      </c>
      <c r="F558" s="10" t="s">
        <v>998</v>
      </c>
    </row>
    <row r="559" spans="5:6" ht="30">
      <c r="E559" s="5">
        <v>1008</v>
      </c>
      <c r="F559" s="6" t="s">
        <v>1001</v>
      </c>
    </row>
    <row r="560" spans="5:6" ht="30">
      <c r="E560" s="9">
        <v>1009</v>
      </c>
      <c r="F560" s="10" t="s">
        <v>1000</v>
      </c>
    </row>
    <row r="561" spans="5:6" ht="30">
      <c r="E561" s="5">
        <v>1010</v>
      </c>
      <c r="F561" s="6" t="s">
        <v>1002</v>
      </c>
    </row>
    <row r="562" spans="5:6">
      <c r="E562" s="9">
        <v>1012</v>
      </c>
      <c r="F562" s="10" t="s">
        <v>1006</v>
      </c>
    </row>
    <row r="563" spans="5:6">
      <c r="E563" s="5">
        <v>1013</v>
      </c>
      <c r="F563" s="6" t="s">
        <v>1022</v>
      </c>
    </row>
    <row r="564" spans="5:6">
      <c r="E564" s="9">
        <v>1014</v>
      </c>
      <c r="F564" s="10" t="s">
        <v>1021</v>
      </c>
    </row>
    <row r="565" spans="5:6">
      <c r="E565" s="5">
        <v>1015</v>
      </c>
      <c r="F565" s="6" t="s">
        <v>1026</v>
      </c>
    </row>
    <row r="566" spans="5:6">
      <c r="E566" s="9">
        <v>1016</v>
      </c>
      <c r="F566" s="10" t="s">
        <v>244</v>
      </c>
    </row>
    <row r="567" spans="5:6">
      <c r="E567" s="5">
        <v>1017</v>
      </c>
      <c r="F567" s="6" t="s">
        <v>1034</v>
      </c>
    </row>
    <row r="568" spans="5:6">
      <c r="E568" s="9">
        <v>1018</v>
      </c>
      <c r="F568" s="10" t="s">
        <v>245</v>
      </c>
    </row>
    <row r="569" spans="5:6">
      <c r="E569" s="5">
        <v>1020</v>
      </c>
      <c r="F569" s="6" t="s">
        <v>1095</v>
      </c>
    </row>
    <row r="570" spans="5:6">
      <c r="E570" s="9">
        <v>1021</v>
      </c>
      <c r="F570" s="10" t="s">
        <v>1100</v>
      </c>
    </row>
    <row r="571" spans="5:6">
      <c r="E571" s="5">
        <v>1022</v>
      </c>
      <c r="F571" s="6" t="s">
        <v>1153</v>
      </c>
    </row>
    <row r="572" spans="5:6">
      <c r="E572" s="9">
        <v>1025</v>
      </c>
      <c r="F572" s="10" t="s">
        <v>1114</v>
      </c>
    </row>
    <row r="573" spans="5:6">
      <c r="E573" s="5">
        <v>1026</v>
      </c>
      <c r="F573" s="6" t="s">
        <v>1157</v>
      </c>
    </row>
    <row r="574" spans="5:6">
      <c r="E574" s="9">
        <v>1028</v>
      </c>
      <c r="F574" s="10" t="s">
        <v>1159</v>
      </c>
    </row>
    <row r="575" spans="5:6">
      <c r="E575" s="5">
        <v>1029</v>
      </c>
      <c r="F575" s="6" t="s">
        <v>1160</v>
      </c>
    </row>
    <row r="576" spans="5:6">
      <c r="E576" s="9">
        <v>1030</v>
      </c>
      <c r="F576" s="10" t="s">
        <v>1161</v>
      </c>
    </row>
    <row r="577" spans="5:6">
      <c r="E577" s="5">
        <v>1031</v>
      </c>
      <c r="F577" s="6" t="s">
        <v>1168</v>
      </c>
    </row>
    <row r="578" spans="5:6">
      <c r="E578" s="9">
        <v>1032</v>
      </c>
      <c r="F578" s="10" t="s">
        <v>1169</v>
      </c>
    </row>
    <row r="579" spans="5:6">
      <c r="E579" s="5">
        <v>1033</v>
      </c>
      <c r="F579" s="6" t="s">
        <v>1177</v>
      </c>
    </row>
    <row r="580" spans="5:6">
      <c r="E580" s="9">
        <v>1037</v>
      </c>
      <c r="F580" s="10" t="s">
        <v>738</v>
      </c>
    </row>
    <row r="581" spans="5:6">
      <c r="E581" s="5">
        <v>1040</v>
      </c>
      <c r="F581" s="6" t="s">
        <v>417</v>
      </c>
    </row>
    <row r="582" spans="5:6">
      <c r="E582" s="9">
        <v>1048</v>
      </c>
      <c r="F582" s="10" t="s">
        <v>785</v>
      </c>
    </row>
    <row r="583" spans="5:6">
      <c r="E583" s="5">
        <v>1049</v>
      </c>
      <c r="F583" s="6" t="s">
        <v>295</v>
      </c>
    </row>
    <row r="584" spans="5:6">
      <c r="E584" s="9">
        <v>1054</v>
      </c>
      <c r="F584" s="10" t="s">
        <v>1166</v>
      </c>
    </row>
    <row r="585" spans="5:6">
      <c r="E585" s="5">
        <v>1055</v>
      </c>
      <c r="F585" s="6" t="s">
        <v>1016</v>
      </c>
    </row>
    <row r="586" spans="5:6">
      <c r="E586" s="9">
        <v>1056</v>
      </c>
      <c r="F586" s="10" t="s">
        <v>1092</v>
      </c>
    </row>
    <row r="587" spans="5:6">
      <c r="E587" s="5">
        <v>1057</v>
      </c>
      <c r="F587" s="6" t="s">
        <v>1152</v>
      </c>
    </row>
    <row r="588" spans="5:6">
      <c r="E588" s="9">
        <v>1059</v>
      </c>
      <c r="F588" s="10" t="s">
        <v>728</v>
      </c>
    </row>
    <row r="589" spans="5:6">
      <c r="E589" s="5">
        <v>1061</v>
      </c>
      <c r="F589" s="6" t="s">
        <v>269</v>
      </c>
    </row>
    <row r="590" spans="5:6">
      <c r="E590" s="9">
        <v>1064</v>
      </c>
      <c r="F590" s="10" t="s">
        <v>494</v>
      </c>
    </row>
    <row r="591" spans="5:6">
      <c r="E591" s="5">
        <v>1065</v>
      </c>
      <c r="F591" s="6" t="s">
        <v>638</v>
      </c>
    </row>
    <row r="592" spans="5:6">
      <c r="E592" s="9">
        <v>1067</v>
      </c>
      <c r="F592" s="10" t="s">
        <v>667</v>
      </c>
    </row>
    <row r="593" spans="5:6">
      <c r="E593" s="5">
        <v>1068</v>
      </c>
      <c r="F593" s="6" t="s">
        <v>668</v>
      </c>
    </row>
    <row r="594" spans="5:6">
      <c r="E594" s="9">
        <v>1069</v>
      </c>
      <c r="F594" s="10" t="s">
        <v>670</v>
      </c>
    </row>
    <row r="595" spans="5:6">
      <c r="E595" s="5">
        <v>1070</v>
      </c>
      <c r="F595" s="6" t="s">
        <v>669</v>
      </c>
    </row>
    <row r="596" spans="5:6">
      <c r="E596" s="9">
        <v>1074</v>
      </c>
      <c r="F596" s="10" t="s">
        <v>881</v>
      </c>
    </row>
    <row r="597" spans="5:6">
      <c r="E597" s="5">
        <v>1076</v>
      </c>
      <c r="F597" s="6" t="s">
        <v>885</v>
      </c>
    </row>
    <row r="598" spans="5:6">
      <c r="E598" s="9">
        <v>1077</v>
      </c>
      <c r="F598" s="10" t="s">
        <v>888</v>
      </c>
    </row>
    <row r="599" spans="5:6">
      <c r="E599" s="5">
        <v>1078</v>
      </c>
      <c r="F599" s="6" t="s">
        <v>889</v>
      </c>
    </row>
    <row r="600" spans="5:6">
      <c r="E600" s="9">
        <v>1079</v>
      </c>
      <c r="F600" s="10" t="s">
        <v>1004</v>
      </c>
    </row>
    <row r="601" spans="5:6">
      <c r="E601" s="5">
        <v>1080</v>
      </c>
      <c r="F601" s="6" t="s">
        <v>1056</v>
      </c>
    </row>
    <row r="602" spans="5:6">
      <c r="E602" s="9">
        <v>1081</v>
      </c>
      <c r="F602" s="10" t="s">
        <v>1055</v>
      </c>
    </row>
    <row r="603" spans="5:6">
      <c r="E603" s="5">
        <v>1082</v>
      </c>
      <c r="F603" s="6" t="s">
        <v>1093</v>
      </c>
    </row>
    <row r="604" spans="5:6">
      <c r="E604" s="9">
        <v>1083</v>
      </c>
      <c r="F604" s="10" t="s">
        <v>1091</v>
      </c>
    </row>
    <row r="605" spans="5:6">
      <c r="E605" s="5">
        <v>1084</v>
      </c>
      <c r="F605" s="6" t="s">
        <v>1096</v>
      </c>
    </row>
    <row r="606" spans="5:6">
      <c r="E606" s="9">
        <v>1085</v>
      </c>
      <c r="F606" s="10" t="s">
        <v>1165</v>
      </c>
    </row>
    <row r="607" spans="5:6">
      <c r="E607" s="5">
        <v>1087</v>
      </c>
      <c r="F607" s="6" t="s">
        <v>1099</v>
      </c>
    </row>
    <row r="608" spans="5:6">
      <c r="E608" s="9">
        <v>1090</v>
      </c>
      <c r="F608" s="10" t="s">
        <v>192</v>
      </c>
    </row>
    <row r="609" spans="5:6">
      <c r="E609" s="5">
        <v>1091</v>
      </c>
      <c r="F609" s="6" t="s">
        <v>801</v>
      </c>
    </row>
    <row r="610" spans="5:6">
      <c r="E610" s="9">
        <v>1092</v>
      </c>
      <c r="F610" s="10" t="s">
        <v>193</v>
      </c>
    </row>
    <row r="611" spans="5:6">
      <c r="E611" s="5">
        <v>1094</v>
      </c>
      <c r="F611" s="6" t="s">
        <v>696</v>
      </c>
    </row>
    <row r="612" spans="5:6">
      <c r="E612" s="9">
        <v>1095</v>
      </c>
      <c r="F612" s="10" t="s">
        <v>83</v>
      </c>
    </row>
    <row r="613" spans="5:6">
      <c r="E613" s="5">
        <v>1097</v>
      </c>
      <c r="F613" s="6" t="s">
        <v>258</v>
      </c>
    </row>
    <row r="614" spans="5:6">
      <c r="E614" s="9">
        <v>1100</v>
      </c>
      <c r="F614" s="10" t="s">
        <v>924</v>
      </c>
    </row>
    <row r="615" spans="5:6">
      <c r="E615" s="5">
        <v>1101</v>
      </c>
      <c r="F615" s="6" t="s">
        <v>737</v>
      </c>
    </row>
    <row r="616" spans="5:6">
      <c r="E616" s="9">
        <v>1102</v>
      </c>
      <c r="F616" s="10" t="s">
        <v>500</v>
      </c>
    </row>
    <row r="617" spans="5:6">
      <c r="E617" s="5">
        <v>1103</v>
      </c>
      <c r="F617" s="6" t="s">
        <v>883</v>
      </c>
    </row>
    <row r="618" spans="5:6">
      <c r="E618" s="9">
        <v>1104</v>
      </c>
      <c r="F618" s="10" t="s">
        <v>58</v>
      </c>
    </row>
    <row r="619" spans="5:6">
      <c r="E619" s="5">
        <v>1105</v>
      </c>
      <c r="F619" s="6" t="s">
        <v>60</v>
      </c>
    </row>
    <row r="620" spans="5:6">
      <c r="E620" s="9">
        <v>1108</v>
      </c>
      <c r="F620" s="10" t="s">
        <v>502</v>
      </c>
    </row>
    <row r="621" spans="5:6">
      <c r="E621" s="5">
        <v>1110</v>
      </c>
      <c r="F621" s="6" t="s">
        <v>498</v>
      </c>
    </row>
    <row r="622" spans="5:6">
      <c r="E622" s="9">
        <v>1111</v>
      </c>
      <c r="F622" s="10" t="s">
        <v>331</v>
      </c>
    </row>
    <row r="623" spans="5:6">
      <c r="E623" s="5">
        <v>1113</v>
      </c>
      <c r="F623" s="6" t="s">
        <v>247</v>
      </c>
    </row>
    <row r="624" spans="5:6">
      <c r="E624" s="9">
        <v>1114</v>
      </c>
      <c r="F624" s="10" t="s">
        <v>304</v>
      </c>
    </row>
    <row r="625" spans="5:6">
      <c r="E625" s="5">
        <v>1115</v>
      </c>
      <c r="F625" s="6" t="s">
        <v>686</v>
      </c>
    </row>
    <row r="626" spans="5:6">
      <c r="E626" s="9">
        <v>1117</v>
      </c>
      <c r="F626" s="10" t="s">
        <v>616</v>
      </c>
    </row>
    <row r="627" spans="5:6">
      <c r="E627" s="5">
        <v>1118</v>
      </c>
      <c r="F627" s="6" t="s">
        <v>615</v>
      </c>
    </row>
    <row r="628" spans="5:6">
      <c r="E628" s="9">
        <v>1119</v>
      </c>
      <c r="F628" s="10" t="s">
        <v>253</v>
      </c>
    </row>
    <row r="629" spans="5:6">
      <c r="E629" s="5">
        <v>1122</v>
      </c>
      <c r="F629" s="6" t="s">
        <v>948</v>
      </c>
    </row>
    <row r="630" spans="5:6">
      <c r="E630" s="9">
        <v>1123</v>
      </c>
      <c r="F630" s="10" t="s">
        <v>844</v>
      </c>
    </row>
    <row r="631" spans="5:6">
      <c r="E631" s="5">
        <v>1124</v>
      </c>
      <c r="F631" s="6" t="s">
        <v>358</v>
      </c>
    </row>
    <row r="632" spans="5:6">
      <c r="E632" s="9">
        <v>1125</v>
      </c>
      <c r="F632" s="10" t="s">
        <v>799</v>
      </c>
    </row>
    <row r="633" spans="5:6">
      <c r="E633" s="5">
        <v>1126</v>
      </c>
      <c r="F633" s="6" t="s">
        <v>798</v>
      </c>
    </row>
    <row r="634" spans="5:6">
      <c r="E634" s="9">
        <v>1127</v>
      </c>
      <c r="F634" s="10" t="s">
        <v>797</v>
      </c>
    </row>
    <row r="635" spans="5:6">
      <c r="E635" s="5">
        <v>1128</v>
      </c>
      <c r="F635" s="6" t="s">
        <v>796</v>
      </c>
    </row>
    <row r="636" spans="5:6">
      <c r="E636" s="9">
        <v>1129</v>
      </c>
      <c r="F636" s="10" t="s">
        <v>795</v>
      </c>
    </row>
    <row r="637" spans="5:6">
      <c r="E637" s="5">
        <v>1130</v>
      </c>
      <c r="F637" s="6" t="s">
        <v>802</v>
      </c>
    </row>
    <row r="638" spans="5:6">
      <c r="E638" s="9">
        <v>1131</v>
      </c>
      <c r="F638" s="10" t="s">
        <v>567</v>
      </c>
    </row>
    <row r="639" spans="5:6">
      <c r="E639" s="5">
        <v>1132</v>
      </c>
      <c r="F639" s="6" t="s">
        <v>286</v>
      </c>
    </row>
    <row r="640" spans="5:6">
      <c r="E640" s="9">
        <v>1133</v>
      </c>
      <c r="F640" s="10" t="s">
        <v>288</v>
      </c>
    </row>
    <row r="641" spans="5:6">
      <c r="E641" s="5">
        <v>1135</v>
      </c>
      <c r="F641" s="6" t="s">
        <v>287</v>
      </c>
    </row>
    <row r="642" spans="5:6">
      <c r="E642" s="9">
        <v>1136</v>
      </c>
      <c r="F642" s="10" t="s">
        <v>283</v>
      </c>
    </row>
    <row r="643" spans="5:6">
      <c r="E643" s="5">
        <v>1137</v>
      </c>
      <c r="F643" s="6" t="s">
        <v>860</v>
      </c>
    </row>
    <row r="644" spans="5:6">
      <c r="E644" s="9">
        <v>1138</v>
      </c>
      <c r="F644" s="10" t="s">
        <v>564</v>
      </c>
    </row>
    <row r="645" spans="5:6">
      <c r="E645" s="5">
        <v>1139</v>
      </c>
      <c r="F645" s="6" t="s">
        <v>562</v>
      </c>
    </row>
    <row r="646" spans="5:6">
      <c r="E646" s="9">
        <v>1140</v>
      </c>
      <c r="F646" s="10" t="s">
        <v>565</v>
      </c>
    </row>
    <row r="647" spans="5:6">
      <c r="E647" s="5">
        <v>1141</v>
      </c>
      <c r="F647" s="6" t="s">
        <v>555</v>
      </c>
    </row>
    <row r="648" spans="5:6">
      <c r="E648" s="9">
        <v>1142</v>
      </c>
      <c r="F648" s="10" t="s">
        <v>282</v>
      </c>
    </row>
    <row r="649" spans="5:6">
      <c r="E649" s="5">
        <v>1143</v>
      </c>
      <c r="F649" s="6" t="s">
        <v>568</v>
      </c>
    </row>
    <row r="650" spans="5:6">
      <c r="E650" s="9">
        <v>1145</v>
      </c>
      <c r="F650" s="10" t="s">
        <v>284</v>
      </c>
    </row>
    <row r="651" spans="5:6">
      <c r="E651" s="5">
        <v>1146</v>
      </c>
      <c r="F651" s="6" t="s">
        <v>572</v>
      </c>
    </row>
    <row r="652" spans="5:6">
      <c r="E652" s="9">
        <v>1147</v>
      </c>
      <c r="F652" s="10" t="s">
        <v>945</v>
      </c>
    </row>
    <row r="653" spans="5:6">
      <c r="E653" s="5">
        <v>1150</v>
      </c>
      <c r="F653" s="6" t="s">
        <v>1005</v>
      </c>
    </row>
    <row r="654" spans="5:6">
      <c r="E654" s="9">
        <v>1151</v>
      </c>
      <c r="F654" s="10" t="s">
        <v>262</v>
      </c>
    </row>
    <row r="655" spans="5:6">
      <c r="E655" s="5">
        <v>1152</v>
      </c>
      <c r="F655" s="6" t="s">
        <v>257</v>
      </c>
    </row>
    <row r="656" spans="5:6">
      <c r="E656" s="9">
        <v>1153</v>
      </c>
      <c r="F656" s="10" t="s">
        <v>256</v>
      </c>
    </row>
    <row r="657" spans="5:6">
      <c r="E657" s="5">
        <v>1154</v>
      </c>
      <c r="F657" s="6" t="s">
        <v>599</v>
      </c>
    </row>
    <row r="658" spans="5:6">
      <c r="E658" s="9">
        <v>1156</v>
      </c>
      <c r="F658" s="10" t="s">
        <v>904</v>
      </c>
    </row>
    <row r="659" spans="5:6">
      <c r="E659" s="5">
        <v>1157</v>
      </c>
      <c r="F659" s="6" t="s">
        <v>1014</v>
      </c>
    </row>
    <row r="660" spans="5:6">
      <c r="E660" s="9">
        <v>1158</v>
      </c>
      <c r="F660" s="10" t="s">
        <v>1070</v>
      </c>
    </row>
    <row r="661" spans="5:6">
      <c r="E661" s="5">
        <v>1159</v>
      </c>
      <c r="F661" s="6" t="s">
        <v>584</v>
      </c>
    </row>
    <row r="662" spans="5:6">
      <c r="E662" s="9">
        <v>1160</v>
      </c>
      <c r="F662" s="10" t="s">
        <v>585</v>
      </c>
    </row>
    <row r="663" spans="5:6">
      <c r="E663" s="5">
        <v>1161</v>
      </c>
      <c r="F663" s="6" t="s">
        <v>996</v>
      </c>
    </row>
    <row r="664" spans="5:6">
      <c r="E664" s="9">
        <v>1163</v>
      </c>
      <c r="F664" s="10" t="s">
        <v>1146</v>
      </c>
    </row>
    <row r="665" spans="5:6">
      <c r="E665" s="5">
        <v>1164</v>
      </c>
      <c r="F665" s="6" t="s">
        <v>1147</v>
      </c>
    </row>
    <row r="666" spans="5:6">
      <c r="E666" s="9">
        <v>1165</v>
      </c>
      <c r="F666" s="10" t="s">
        <v>1154</v>
      </c>
    </row>
    <row r="667" spans="5:6">
      <c r="E667" s="5">
        <v>1166</v>
      </c>
      <c r="F667" s="6" t="s">
        <v>1138</v>
      </c>
    </row>
    <row r="668" spans="5:6">
      <c r="E668" s="9">
        <v>1167</v>
      </c>
      <c r="F668" s="10" t="s">
        <v>960</v>
      </c>
    </row>
    <row r="669" spans="5:6">
      <c r="E669" s="5">
        <v>1168</v>
      </c>
      <c r="F669" s="6" t="s">
        <v>671</v>
      </c>
    </row>
    <row r="670" spans="5:6" ht="30">
      <c r="E670" s="9">
        <v>1169</v>
      </c>
      <c r="F670" s="10" t="s">
        <v>1136</v>
      </c>
    </row>
    <row r="671" spans="5:6" ht="30">
      <c r="E671" s="5">
        <v>1171</v>
      </c>
      <c r="F671" s="6" t="s">
        <v>558</v>
      </c>
    </row>
    <row r="672" spans="5:6">
      <c r="E672" s="9">
        <v>1172</v>
      </c>
      <c r="F672" s="10" t="s">
        <v>574</v>
      </c>
    </row>
    <row r="673" spans="5:6">
      <c r="E673" s="5">
        <v>1173</v>
      </c>
      <c r="F673" s="6" t="s">
        <v>858</v>
      </c>
    </row>
    <row r="674" spans="5:6">
      <c r="E674" s="9">
        <v>1174</v>
      </c>
      <c r="F674" s="10" t="s">
        <v>279</v>
      </c>
    </row>
    <row r="675" spans="5:6">
      <c r="E675" s="5">
        <v>1175</v>
      </c>
      <c r="F675" s="6" t="s">
        <v>281</v>
      </c>
    </row>
    <row r="676" spans="5:6">
      <c r="E676" s="9">
        <v>1176</v>
      </c>
      <c r="F676" s="10" t="s">
        <v>57</v>
      </c>
    </row>
    <row r="677" spans="5:6">
      <c r="E677" s="5">
        <v>1177</v>
      </c>
      <c r="F677" s="6" t="s">
        <v>285</v>
      </c>
    </row>
    <row r="678" spans="5:6">
      <c r="E678" s="9">
        <v>1179</v>
      </c>
      <c r="F678" s="10" t="s">
        <v>560</v>
      </c>
    </row>
    <row r="679" spans="5:6">
      <c r="E679" s="5">
        <v>1180</v>
      </c>
      <c r="F679" s="6" t="s">
        <v>561</v>
      </c>
    </row>
    <row r="680" spans="5:6">
      <c r="E680" s="9">
        <v>1181</v>
      </c>
      <c r="F680" s="10" t="s">
        <v>387</v>
      </c>
    </row>
    <row r="681" spans="5:6">
      <c r="E681" s="5">
        <v>1182</v>
      </c>
      <c r="F681" s="6" t="s">
        <v>942</v>
      </c>
    </row>
    <row r="682" spans="5:6">
      <c r="E682" s="9">
        <v>1183</v>
      </c>
      <c r="F682" s="10" t="s">
        <v>89</v>
      </c>
    </row>
    <row r="683" spans="5:6">
      <c r="E683" s="5">
        <v>1184</v>
      </c>
      <c r="F683" s="6" t="s">
        <v>278</v>
      </c>
    </row>
    <row r="684" spans="5:6">
      <c r="E684" s="9">
        <v>1185</v>
      </c>
      <c r="F684" s="10" t="s">
        <v>975</v>
      </c>
    </row>
    <row r="685" spans="5:6">
      <c r="E685" s="5">
        <v>1186</v>
      </c>
      <c r="F685" s="6" t="s">
        <v>976</v>
      </c>
    </row>
    <row r="686" spans="5:6">
      <c r="E686" s="9">
        <v>1187</v>
      </c>
      <c r="F686" s="10" t="s">
        <v>280</v>
      </c>
    </row>
    <row r="687" spans="5:6">
      <c r="E687" s="5">
        <v>1188</v>
      </c>
      <c r="F687" s="6" t="s">
        <v>974</v>
      </c>
    </row>
    <row r="688" spans="5:6">
      <c r="E688" s="9">
        <v>1189</v>
      </c>
      <c r="F688" s="10" t="s">
        <v>977</v>
      </c>
    </row>
    <row r="689" spans="5:6">
      <c r="E689" s="5">
        <v>1190</v>
      </c>
      <c r="F689" s="6" t="s">
        <v>978</v>
      </c>
    </row>
    <row r="690" spans="5:6">
      <c r="E690" s="9">
        <v>1191</v>
      </c>
      <c r="F690" s="10" t="s">
        <v>277</v>
      </c>
    </row>
    <row r="691" spans="5:6">
      <c r="E691" s="5">
        <v>1192</v>
      </c>
      <c r="F691" s="6" t="s">
        <v>843</v>
      </c>
    </row>
    <row r="692" spans="5:6">
      <c r="E692" s="9">
        <v>1203</v>
      </c>
      <c r="F692" s="10" t="s">
        <v>955</v>
      </c>
    </row>
    <row r="693" spans="5:6">
      <c r="E693" s="5">
        <v>1205</v>
      </c>
      <c r="F693" s="6" t="s">
        <v>1144</v>
      </c>
    </row>
    <row r="694" spans="5:6">
      <c r="E694" s="9">
        <v>1206</v>
      </c>
      <c r="F694" s="10" t="s">
        <v>947</v>
      </c>
    </row>
    <row r="695" spans="5:6" ht="30">
      <c r="E695" s="5">
        <v>1211</v>
      </c>
      <c r="F695" s="6" t="s">
        <v>950</v>
      </c>
    </row>
    <row r="696" spans="5:6">
      <c r="E696" s="9">
        <v>1212</v>
      </c>
      <c r="F696" s="10" t="s">
        <v>956</v>
      </c>
    </row>
    <row r="697" spans="5:6">
      <c r="E697" s="5">
        <v>1213</v>
      </c>
      <c r="F697" s="6" t="s">
        <v>557</v>
      </c>
    </row>
    <row r="698" spans="5:6">
      <c r="E698" s="9">
        <v>1214</v>
      </c>
      <c r="F698" s="10" t="s">
        <v>583</v>
      </c>
    </row>
    <row r="699" spans="5:6">
      <c r="E699" s="5">
        <v>1215</v>
      </c>
      <c r="F699" s="6" t="s">
        <v>953</v>
      </c>
    </row>
    <row r="700" spans="5:6">
      <c r="E700" s="9">
        <v>1216</v>
      </c>
      <c r="F700" s="10" t="s">
        <v>910</v>
      </c>
    </row>
    <row r="701" spans="5:6">
      <c r="E701" s="5">
        <v>1222</v>
      </c>
      <c r="F701" s="6" t="s">
        <v>803</v>
      </c>
    </row>
    <row r="702" spans="5:6">
      <c r="E702" s="9">
        <v>1223</v>
      </c>
      <c r="F702" s="10" t="s">
        <v>1049</v>
      </c>
    </row>
    <row r="703" spans="5:6">
      <c r="E703" s="5">
        <v>1225</v>
      </c>
      <c r="F703" s="6" t="s">
        <v>195</v>
      </c>
    </row>
    <row r="704" spans="5:6">
      <c r="E704" s="9">
        <v>1226</v>
      </c>
      <c r="F704" s="10" t="s">
        <v>198</v>
      </c>
    </row>
    <row r="705" spans="5:6">
      <c r="E705" s="5">
        <v>1227</v>
      </c>
      <c r="F705" s="6" t="s">
        <v>571</v>
      </c>
    </row>
    <row r="706" spans="5:6">
      <c r="E706" s="9">
        <v>1229</v>
      </c>
      <c r="F706" s="10" t="s">
        <v>575</v>
      </c>
    </row>
    <row r="707" spans="5:6">
      <c r="E707" s="5">
        <v>1239</v>
      </c>
      <c r="F707" s="6" t="s">
        <v>570</v>
      </c>
    </row>
    <row r="708" spans="5:6">
      <c r="E708" s="9">
        <v>1240</v>
      </c>
      <c r="F708" s="10" t="s">
        <v>563</v>
      </c>
    </row>
    <row r="709" spans="5:6">
      <c r="E709" s="5">
        <v>1241</v>
      </c>
      <c r="F709" s="6" t="s">
        <v>569</v>
      </c>
    </row>
    <row r="710" spans="5:6">
      <c r="E710" s="9">
        <v>1242</v>
      </c>
      <c r="F710" s="10" t="s">
        <v>566</v>
      </c>
    </row>
    <row r="711" spans="5:6">
      <c r="E711" s="5">
        <v>1243</v>
      </c>
      <c r="F711" s="6" t="s">
        <v>196</v>
      </c>
    </row>
    <row r="712" spans="5:6">
      <c r="E712" s="9">
        <v>1250</v>
      </c>
      <c r="F712" s="10" t="s">
        <v>817</v>
      </c>
    </row>
    <row r="713" spans="5:6">
      <c r="E713" s="5">
        <v>1251</v>
      </c>
      <c r="F713" s="6" t="s">
        <v>731</v>
      </c>
    </row>
    <row r="714" spans="5:6">
      <c r="E714" s="9">
        <v>1253</v>
      </c>
      <c r="F714" s="10" t="s">
        <v>170</v>
      </c>
    </row>
    <row r="715" spans="5:6">
      <c r="E715" s="5">
        <v>1257</v>
      </c>
      <c r="F715" s="6" t="s">
        <v>783</v>
      </c>
    </row>
    <row r="716" spans="5:6">
      <c r="E716" s="9">
        <v>1258</v>
      </c>
      <c r="F716" s="10" t="s">
        <v>492</v>
      </c>
    </row>
    <row r="717" spans="5:6">
      <c r="E717" s="5">
        <v>1259</v>
      </c>
      <c r="F717" s="6" t="s">
        <v>886</v>
      </c>
    </row>
    <row r="718" spans="5:6" ht="30">
      <c r="E718" s="9">
        <v>1260</v>
      </c>
      <c r="F718" s="10" t="s">
        <v>882</v>
      </c>
    </row>
    <row r="719" spans="5:6">
      <c r="E719" s="5">
        <v>1261</v>
      </c>
      <c r="F719" s="6" t="s">
        <v>80</v>
      </c>
    </row>
    <row r="720" spans="5:6">
      <c r="E720" s="9">
        <v>1262</v>
      </c>
      <c r="F720" s="10" t="s">
        <v>525</v>
      </c>
    </row>
    <row r="721" spans="5:6">
      <c r="E721" s="5">
        <v>1263</v>
      </c>
      <c r="F721" s="6" t="s">
        <v>524</v>
      </c>
    </row>
    <row r="722" spans="5:6">
      <c r="E722" s="9">
        <v>1267</v>
      </c>
      <c r="F722" s="10" t="s">
        <v>655</v>
      </c>
    </row>
    <row r="723" spans="5:6">
      <c r="E723" s="5">
        <v>1268</v>
      </c>
      <c r="F723" s="6" t="s">
        <v>590</v>
      </c>
    </row>
    <row r="724" spans="5:6">
      <c r="E724" s="9">
        <v>1269</v>
      </c>
      <c r="F724" s="10" t="s">
        <v>587</v>
      </c>
    </row>
    <row r="725" spans="5:6">
      <c r="E725" s="5">
        <v>1270</v>
      </c>
      <c r="F725" s="6" t="s">
        <v>588</v>
      </c>
    </row>
    <row r="726" spans="5:6">
      <c r="E726" s="9">
        <v>1271</v>
      </c>
      <c r="F726" s="10" t="s">
        <v>589</v>
      </c>
    </row>
    <row r="727" spans="5:6">
      <c r="E727" s="5">
        <v>1272</v>
      </c>
      <c r="F727" s="6" t="s">
        <v>313</v>
      </c>
    </row>
    <row r="728" spans="5:6">
      <c r="E728" s="9">
        <v>1278</v>
      </c>
      <c r="F728" s="10" t="s">
        <v>629</v>
      </c>
    </row>
    <row r="729" spans="5:6">
      <c r="E729" s="5">
        <v>1281</v>
      </c>
      <c r="F729" s="6" t="s">
        <v>586</v>
      </c>
    </row>
    <row r="730" spans="5:6">
      <c r="E730" s="9">
        <v>1283</v>
      </c>
      <c r="F730" s="10" t="s">
        <v>609</v>
      </c>
    </row>
    <row r="731" spans="5:6">
      <c r="E731" s="5">
        <v>1288</v>
      </c>
      <c r="F731" s="6" t="s">
        <v>954</v>
      </c>
    </row>
    <row r="732" spans="5:6">
      <c r="E732" s="9">
        <v>1289</v>
      </c>
      <c r="F732" s="10" t="s">
        <v>1113</v>
      </c>
    </row>
    <row r="733" spans="5:6">
      <c r="E733" s="5">
        <v>1293</v>
      </c>
      <c r="F733" s="6" t="s">
        <v>912</v>
      </c>
    </row>
    <row r="734" spans="5:6">
      <c r="E734" s="9">
        <v>1294</v>
      </c>
      <c r="F734" s="10" t="s">
        <v>116</v>
      </c>
    </row>
    <row r="735" spans="5:6">
      <c r="E735" s="5">
        <v>1295</v>
      </c>
      <c r="F735" s="6" t="s">
        <v>967</v>
      </c>
    </row>
    <row r="736" spans="5:6">
      <c r="E736" s="9">
        <v>1296</v>
      </c>
      <c r="F736" s="10" t="s">
        <v>968</v>
      </c>
    </row>
    <row r="737" spans="5:6">
      <c r="E737" s="5">
        <v>1302</v>
      </c>
      <c r="F737" s="6" t="s">
        <v>513</v>
      </c>
    </row>
    <row r="738" spans="5:6">
      <c r="E738" s="9">
        <v>1304</v>
      </c>
      <c r="F738" s="10" t="s">
        <v>1010</v>
      </c>
    </row>
    <row r="739" spans="5:6">
      <c r="E739" s="5">
        <v>1309</v>
      </c>
      <c r="F739" s="6" t="s">
        <v>972</v>
      </c>
    </row>
    <row r="740" spans="5:6">
      <c r="E740" s="9">
        <v>1312</v>
      </c>
      <c r="F740" s="10" t="s">
        <v>712</v>
      </c>
    </row>
    <row r="741" spans="5:6">
      <c r="E741" s="5">
        <v>1315</v>
      </c>
      <c r="F741" s="6" t="s">
        <v>672</v>
      </c>
    </row>
    <row r="742" spans="5:6">
      <c r="E742" s="9">
        <v>1316</v>
      </c>
      <c r="F742" s="10" t="s">
        <v>534</v>
      </c>
    </row>
    <row r="743" spans="5:6">
      <c r="E743" s="5">
        <v>1317</v>
      </c>
      <c r="F743" s="6" t="s">
        <v>1135</v>
      </c>
    </row>
    <row r="744" spans="5:6">
      <c r="E744" s="9">
        <v>1318</v>
      </c>
      <c r="F744" s="10" t="s">
        <v>1134</v>
      </c>
    </row>
    <row r="745" spans="5:6">
      <c r="E745" s="5">
        <v>1319</v>
      </c>
      <c r="F745" s="6" t="s">
        <v>275</v>
      </c>
    </row>
    <row r="746" spans="5:6">
      <c r="E746" s="9">
        <v>1320</v>
      </c>
      <c r="F746" s="10" t="s">
        <v>969</v>
      </c>
    </row>
    <row r="747" spans="5:6">
      <c r="E747" s="5">
        <v>1322</v>
      </c>
      <c r="F747" s="6" t="s">
        <v>383</v>
      </c>
    </row>
    <row r="748" spans="5:6">
      <c r="E748" s="9">
        <v>1324</v>
      </c>
      <c r="F748" s="10" t="s">
        <v>31</v>
      </c>
    </row>
    <row r="749" spans="5:6">
      <c r="E749" s="5">
        <v>1325</v>
      </c>
      <c r="F749" s="6" t="s">
        <v>173</v>
      </c>
    </row>
    <row r="750" spans="5:6">
      <c r="E750" s="9">
        <v>1326</v>
      </c>
      <c r="F750" s="10" t="s">
        <v>33</v>
      </c>
    </row>
    <row r="751" spans="5:6">
      <c r="E751" s="5">
        <v>1334</v>
      </c>
      <c r="F751" s="6" t="s">
        <v>849</v>
      </c>
    </row>
    <row r="752" spans="5:6">
      <c r="E752" s="9">
        <v>1337</v>
      </c>
      <c r="F752" s="10" t="s">
        <v>853</v>
      </c>
    </row>
    <row r="753" spans="5:6">
      <c r="E753" s="5">
        <v>1338</v>
      </c>
      <c r="F753" s="6" t="s">
        <v>30</v>
      </c>
    </row>
    <row r="754" spans="5:6">
      <c r="E754" s="9">
        <v>1345</v>
      </c>
      <c r="F754" s="10" t="s">
        <v>180</v>
      </c>
    </row>
    <row r="755" spans="5:6">
      <c r="E755" s="5">
        <v>1346</v>
      </c>
      <c r="F755" s="6" t="s">
        <v>16</v>
      </c>
    </row>
    <row r="756" spans="5:6">
      <c r="E756" s="9">
        <v>1347</v>
      </c>
      <c r="F756" s="10" t="s">
        <v>1149</v>
      </c>
    </row>
    <row r="757" spans="5:6">
      <c r="E757" s="5">
        <v>1348</v>
      </c>
      <c r="F757" s="6" t="s">
        <v>1155</v>
      </c>
    </row>
    <row r="758" spans="5:6">
      <c r="E758" s="9">
        <v>1349</v>
      </c>
      <c r="F758" s="10" t="s">
        <v>1142</v>
      </c>
    </row>
    <row r="759" spans="5:6">
      <c r="E759" s="5">
        <v>1350</v>
      </c>
      <c r="F759" s="6" t="s">
        <v>50</v>
      </c>
    </row>
    <row r="760" spans="5:6">
      <c r="E760" s="9">
        <v>1351</v>
      </c>
      <c r="F760" s="10" t="s">
        <v>1141</v>
      </c>
    </row>
    <row r="761" spans="5:6">
      <c r="E761" s="5">
        <v>1352</v>
      </c>
      <c r="F761" s="6" t="s">
        <v>246</v>
      </c>
    </row>
    <row r="762" spans="5:6">
      <c r="E762" s="9">
        <v>1353</v>
      </c>
      <c r="F762" s="10" t="s">
        <v>194</v>
      </c>
    </row>
    <row r="763" spans="5:6">
      <c r="E763" s="5">
        <v>1354</v>
      </c>
      <c r="F763" s="6" t="s">
        <v>601</v>
      </c>
    </row>
    <row r="764" spans="5:6">
      <c r="E764" s="9">
        <v>1357</v>
      </c>
      <c r="F764" s="10" t="s">
        <v>1158</v>
      </c>
    </row>
    <row r="765" spans="5:6">
      <c r="E765" s="5">
        <v>1358</v>
      </c>
      <c r="F765" s="6" t="s">
        <v>644</v>
      </c>
    </row>
    <row r="766" spans="5:6">
      <c r="E766" s="9">
        <v>1359</v>
      </c>
      <c r="F766" s="10" t="s">
        <v>645</v>
      </c>
    </row>
    <row r="767" spans="5:6" ht="30">
      <c r="E767" s="5">
        <v>1361</v>
      </c>
      <c r="F767" s="6" t="s">
        <v>167</v>
      </c>
    </row>
    <row r="768" spans="5:6">
      <c r="E768" s="9">
        <v>1362</v>
      </c>
      <c r="F768" s="10" t="s">
        <v>47</v>
      </c>
    </row>
    <row r="769" spans="5:6">
      <c r="E769" s="5">
        <v>1366</v>
      </c>
      <c r="F769" s="6" t="s">
        <v>1012</v>
      </c>
    </row>
    <row r="770" spans="5:6">
      <c r="E770" s="9">
        <v>1370</v>
      </c>
      <c r="F770" s="10" t="s">
        <v>630</v>
      </c>
    </row>
    <row r="771" spans="5:6">
      <c r="E771" s="5">
        <v>1371</v>
      </c>
      <c r="F771" s="6" t="s">
        <v>632</v>
      </c>
    </row>
    <row r="772" spans="5:6">
      <c r="E772" s="9">
        <v>1372</v>
      </c>
      <c r="F772" s="10" t="s">
        <v>631</v>
      </c>
    </row>
    <row r="773" spans="5:6">
      <c r="E773" s="5">
        <v>1373</v>
      </c>
      <c r="F773" s="6" t="s">
        <v>9</v>
      </c>
    </row>
    <row r="774" spans="5:6">
      <c r="E774" s="9">
        <v>1374</v>
      </c>
      <c r="F774" s="10" t="s">
        <v>12</v>
      </c>
    </row>
    <row r="775" spans="5:6">
      <c r="E775" s="5">
        <v>1375</v>
      </c>
      <c r="F775" s="6" t="s">
        <v>15</v>
      </c>
    </row>
    <row r="776" spans="5:6">
      <c r="E776" s="9">
        <v>1376</v>
      </c>
      <c r="F776" s="10" t="s">
        <v>10</v>
      </c>
    </row>
    <row r="777" spans="5:6">
      <c r="E777" s="5">
        <v>1377</v>
      </c>
      <c r="F777" s="6" t="s">
        <v>11</v>
      </c>
    </row>
    <row r="778" spans="5:6">
      <c r="E778" s="9">
        <v>1378</v>
      </c>
      <c r="F778" s="10" t="s">
        <v>13</v>
      </c>
    </row>
    <row r="779" spans="5:6">
      <c r="E779" s="5">
        <v>1379</v>
      </c>
      <c r="F779" s="6" t="s">
        <v>14</v>
      </c>
    </row>
    <row r="780" spans="5:6">
      <c r="E780" s="9">
        <v>1383</v>
      </c>
      <c r="F780" s="10" t="s">
        <v>1071</v>
      </c>
    </row>
    <row r="781" spans="5:6">
      <c r="E781" s="5">
        <v>1384</v>
      </c>
      <c r="F781" s="6" t="s">
        <v>189</v>
      </c>
    </row>
    <row r="782" spans="5:6">
      <c r="E782" s="9">
        <v>1385</v>
      </c>
      <c r="F782" s="10" t="s">
        <v>714</v>
      </c>
    </row>
    <row r="783" spans="5:6">
      <c r="E783" s="5">
        <v>1386</v>
      </c>
      <c r="F783" s="6" t="s">
        <v>158</v>
      </c>
    </row>
    <row r="784" spans="5:6">
      <c r="E784" s="9">
        <v>1387</v>
      </c>
      <c r="F784" s="10" t="s">
        <v>552</v>
      </c>
    </row>
    <row r="785" spans="5:6">
      <c r="E785" s="5">
        <v>1389</v>
      </c>
      <c r="F785" s="6" t="s">
        <v>1116</v>
      </c>
    </row>
    <row r="786" spans="5:6">
      <c r="E786" s="9">
        <v>1392</v>
      </c>
      <c r="F786" s="10" t="s">
        <v>1171</v>
      </c>
    </row>
    <row r="787" spans="5:6">
      <c r="E787" s="5">
        <v>1393</v>
      </c>
      <c r="F787" s="6" t="s">
        <v>1172</v>
      </c>
    </row>
    <row r="788" spans="5:6">
      <c r="E788" s="9">
        <v>1394</v>
      </c>
      <c r="F788" s="10" t="s">
        <v>808</v>
      </c>
    </row>
    <row r="789" spans="5:6" ht="30">
      <c r="E789" s="5">
        <v>1395</v>
      </c>
      <c r="F789" s="6" t="s">
        <v>1032</v>
      </c>
    </row>
    <row r="790" spans="5:6">
      <c r="E790" s="9">
        <v>1396</v>
      </c>
      <c r="F790" s="10" t="s">
        <v>961</v>
      </c>
    </row>
    <row r="791" spans="5:6" ht="30">
      <c r="E791" s="5">
        <v>1397</v>
      </c>
      <c r="F791" s="6" t="s">
        <v>626</v>
      </c>
    </row>
    <row r="792" spans="5:6">
      <c r="E792" s="9">
        <v>1398</v>
      </c>
      <c r="F792" s="10" t="s">
        <v>614</v>
      </c>
    </row>
    <row r="793" spans="5:6">
      <c r="E793" s="5">
        <v>1399</v>
      </c>
      <c r="F793" s="6" t="s">
        <v>727</v>
      </c>
    </row>
    <row r="794" spans="5:6">
      <c r="E794" s="9">
        <v>1400</v>
      </c>
      <c r="F794" s="10" t="s">
        <v>602</v>
      </c>
    </row>
    <row r="795" spans="5:6" ht="30">
      <c r="E795" s="5">
        <v>1401</v>
      </c>
      <c r="F795" s="6" t="s">
        <v>39</v>
      </c>
    </row>
    <row r="796" spans="5:6" ht="30">
      <c r="E796" s="9">
        <v>1402</v>
      </c>
      <c r="F796" s="10" t="s">
        <v>40</v>
      </c>
    </row>
    <row r="797" spans="5:6">
      <c r="E797" s="5">
        <v>1403</v>
      </c>
      <c r="F797" s="6" t="s">
        <v>773</v>
      </c>
    </row>
    <row r="798" spans="5:6">
      <c r="E798" s="9">
        <v>1404</v>
      </c>
      <c r="F798" s="10" t="s">
        <v>653</v>
      </c>
    </row>
    <row r="799" spans="5:6">
      <c r="E799" s="5">
        <v>1405</v>
      </c>
      <c r="F799" s="6" t="s">
        <v>149</v>
      </c>
    </row>
    <row r="800" spans="5:6">
      <c r="E800" s="9">
        <v>1406</v>
      </c>
      <c r="F800" s="10" t="s">
        <v>518</v>
      </c>
    </row>
    <row r="801" spans="5:6">
      <c r="E801" s="5">
        <v>1407</v>
      </c>
      <c r="F801" s="6" t="s">
        <v>726</v>
      </c>
    </row>
    <row r="802" spans="5:6">
      <c r="E802" s="9">
        <v>1408</v>
      </c>
      <c r="F802" s="10" t="s">
        <v>613</v>
      </c>
    </row>
    <row r="803" spans="5:6">
      <c r="E803" s="5">
        <v>1409</v>
      </c>
      <c r="F803" s="6" t="s">
        <v>115</v>
      </c>
    </row>
    <row r="804" spans="5:6">
      <c r="E804" s="9">
        <v>1410</v>
      </c>
      <c r="F804" s="10" t="s">
        <v>1175</v>
      </c>
    </row>
    <row r="805" spans="5:6">
      <c r="E805" s="5">
        <v>1411</v>
      </c>
      <c r="F805" s="6" t="s">
        <v>593</v>
      </c>
    </row>
    <row r="806" spans="5:6">
      <c r="E806" s="9">
        <v>1412</v>
      </c>
      <c r="F806" s="10" t="s">
        <v>591</v>
      </c>
    </row>
    <row r="807" spans="5:6">
      <c r="E807" s="5">
        <v>1414</v>
      </c>
      <c r="F807" s="6" t="s">
        <v>1162</v>
      </c>
    </row>
    <row r="808" spans="5:6">
      <c r="E808" s="9">
        <v>1415</v>
      </c>
      <c r="F808" s="10" t="s">
        <v>992</v>
      </c>
    </row>
    <row r="809" spans="5:6">
      <c r="E809" s="5">
        <v>1416</v>
      </c>
      <c r="F809" s="6" t="s">
        <v>993</v>
      </c>
    </row>
    <row r="810" spans="5:6">
      <c r="E810" s="9">
        <v>1417</v>
      </c>
      <c r="F810" s="10" t="s">
        <v>214</v>
      </c>
    </row>
    <row r="811" spans="5:6" ht="30">
      <c r="E811" s="5">
        <v>1426</v>
      </c>
      <c r="F811" s="6" t="s">
        <v>254</v>
      </c>
    </row>
    <row r="812" spans="5:6" ht="45">
      <c r="E812" s="9">
        <v>1427</v>
      </c>
      <c r="F812" s="10" t="s">
        <v>255</v>
      </c>
    </row>
    <row r="813" spans="5:6">
      <c r="E813" s="5">
        <v>1428</v>
      </c>
      <c r="F813" s="6" t="s">
        <v>743</v>
      </c>
    </row>
    <row r="814" spans="5:6">
      <c r="E814" s="9">
        <v>1429</v>
      </c>
      <c r="F814" s="10" t="s">
        <v>709</v>
      </c>
    </row>
    <row r="815" spans="5:6">
      <c r="E815" s="5">
        <v>1431</v>
      </c>
      <c r="F815" s="6" t="s">
        <v>707</v>
      </c>
    </row>
    <row r="816" spans="5:6">
      <c r="E816" s="9">
        <v>1432</v>
      </c>
      <c r="F816" s="10" t="s">
        <v>708</v>
      </c>
    </row>
    <row r="817" spans="5:6">
      <c r="E817" s="5">
        <v>1433</v>
      </c>
      <c r="F817" s="6" t="s">
        <v>711</v>
      </c>
    </row>
    <row r="818" spans="5:6">
      <c r="E818" s="9">
        <v>1434</v>
      </c>
      <c r="F818" s="10" t="s">
        <v>200</v>
      </c>
    </row>
    <row r="819" spans="5:6">
      <c r="E819" s="5">
        <v>1435</v>
      </c>
      <c r="F819" s="6" t="s">
        <v>201</v>
      </c>
    </row>
    <row r="820" spans="5:6">
      <c r="E820" s="9">
        <v>1437</v>
      </c>
      <c r="F820" s="10" t="s">
        <v>107</v>
      </c>
    </row>
    <row r="821" spans="5:6">
      <c r="E821" s="5">
        <v>1438</v>
      </c>
      <c r="F821" s="6" t="s">
        <v>99</v>
      </c>
    </row>
    <row r="822" spans="5:6">
      <c r="E822" s="9">
        <v>1439</v>
      </c>
      <c r="F822" s="10" t="s">
        <v>106</v>
      </c>
    </row>
    <row r="823" spans="5:6">
      <c r="E823" s="5">
        <v>1440</v>
      </c>
      <c r="F823" s="6" t="s">
        <v>105</v>
      </c>
    </row>
    <row r="824" spans="5:6">
      <c r="E824" s="9">
        <v>1441</v>
      </c>
      <c r="F824" s="10" t="s">
        <v>101</v>
      </c>
    </row>
    <row r="825" spans="5:6">
      <c r="E825" s="5">
        <v>1442</v>
      </c>
      <c r="F825" s="6" t="s">
        <v>100</v>
      </c>
    </row>
    <row r="826" spans="5:6">
      <c r="E826" s="9">
        <v>1443</v>
      </c>
      <c r="F826" s="10" t="s">
        <v>102</v>
      </c>
    </row>
    <row r="827" spans="5:6">
      <c r="E827" s="5">
        <v>1444</v>
      </c>
      <c r="F827" s="6" t="s">
        <v>103</v>
      </c>
    </row>
    <row r="828" spans="5:6">
      <c r="E828" s="9">
        <v>1445</v>
      </c>
      <c r="F828" s="10" t="s">
        <v>96</v>
      </c>
    </row>
    <row r="829" spans="5:6">
      <c r="E829" s="5">
        <v>1446</v>
      </c>
      <c r="F829" s="6" t="s">
        <v>97</v>
      </c>
    </row>
    <row r="830" spans="5:6">
      <c r="E830" s="9">
        <v>1447</v>
      </c>
      <c r="F830" s="10" t="s">
        <v>104</v>
      </c>
    </row>
    <row r="831" spans="5:6">
      <c r="E831" s="5">
        <v>1448</v>
      </c>
      <c r="F831" s="6" t="s">
        <v>98</v>
      </c>
    </row>
    <row r="832" spans="5:6">
      <c r="E832" s="9">
        <v>1449</v>
      </c>
      <c r="F832" s="10" t="s">
        <v>359</v>
      </c>
    </row>
    <row r="833" spans="5:6">
      <c r="E833" s="5">
        <v>1451</v>
      </c>
      <c r="F833" s="6" t="s">
        <v>67</v>
      </c>
    </row>
    <row r="834" spans="5:6" ht="30">
      <c r="E834" s="9">
        <v>1452</v>
      </c>
      <c r="F834" s="10" t="s">
        <v>69</v>
      </c>
    </row>
    <row r="835" spans="5:6">
      <c r="E835" s="5">
        <v>1453</v>
      </c>
      <c r="F835" s="6" t="s">
        <v>774</v>
      </c>
    </row>
    <row r="836" spans="5:6">
      <c r="E836" s="9">
        <v>1454</v>
      </c>
      <c r="F836" s="10" t="s">
        <v>63</v>
      </c>
    </row>
    <row r="837" spans="5:6">
      <c r="E837" s="5">
        <v>1455</v>
      </c>
      <c r="F837" s="6" t="s">
        <v>377</v>
      </c>
    </row>
    <row r="838" spans="5:6">
      <c r="E838" s="9">
        <v>1456</v>
      </c>
      <c r="F838" s="10" t="s">
        <v>679</v>
      </c>
    </row>
    <row r="839" spans="5:6">
      <c r="E839" s="5">
        <v>1457</v>
      </c>
      <c r="F839" s="6" t="s">
        <v>68</v>
      </c>
    </row>
    <row r="840" spans="5:6">
      <c r="E840" s="9">
        <v>1460</v>
      </c>
      <c r="F840" s="10" t="s">
        <v>166</v>
      </c>
    </row>
    <row r="841" spans="5:6">
      <c r="E841" s="5">
        <v>1461</v>
      </c>
      <c r="F841" s="6" t="s">
        <v>122</v>
      </c>
    </row>
    <row r="842" spans="5:6">
      <c r="E842" s="9">
        <v>1463</v>
      </c>
      <c r="F842" s="10" t="s">
        <v>129</v>
      </c>
    </row>
    <row r="843" spans="5:6">
      <c r="E843" s="5">
        <v>1465</v>
      </c>
      <c r="F843" s="6" t="s">
        <v>130</v>
      </c>
    </row>
    <row r="844" spans="5:6">
      <c r="E844" s="9">
        <v>1466</v>
      </c>
      <c r="F844" s="10" t="s">
        <v>131</v>
      </c>
    </row>
    <row r="845" spans="5:6">
      <c r="E845" s="5">
        <v>1467</v>
      </c>
      <c r="F845" s="6" t="s">
        <v>132</v>
      </c>
    </row>
    <row r="846" spans="5:6">
      <c r="E846" s="9">
        <v>1468</v>
      </c>
      <c r="F846" s="10" t="s">
        <v>133</v>
      </c>
    </row>
    <row r="847" spans="5:6">
      <c r="E847" s="5">
        <v>1469</v>
      </c>
      <c r="F847" s="6" t="s">
        <v>134</v>
      </c>
    </row>
    <row r="848" spans="5:6">
      <c r="E848" s="9">
        <v>1470</v>
      </c>
      <c r="F848" s="10" t="s">
        <v>135</v>
      </c>
    </row>
    <row r="849" spans="5:6">
      <c r="E849" s="5">
        <v>1471</v>
      </c>
      <c r="F849" s="6" t="s">
        <v>136</v>
      </c>
    </row>
    <row r="850" spans="5:6">
      <c r="E850" s="9">
        <v>1472</v>
      </c>
      <c r="F850" s="10" t="s">
        <v>141</v>
      </c>
    </row>
    <row r="851" spans="5:6">
      <c r="E851" s="5">
        <v>1473</v>
      </c>
      <c r="F851" s="6" t="s">
        <v>144</v>
      </c>
    </row>
    <row r="852" spans="5:6">
      <c r="E852" s="9">
        <v>1475</v>
      </c>
      <c r="F852" s="10" t="s">
        <v>139</v>
      </c>
    </row>
    <row r="853" spans="5:6">
      <c r="E853" s="5">
        <v>1476</v>
      </c>
      <c r="F853" s="6" t="s">
        <v>140</v>
      </c>
    </row>
    <row r="854" spans="5:6">
      <c r="E854" s="9">
        <v>1478</v>
      </c>
      <c r="F854" s="10" t="s">
        <v>145</v>
      </c>
    </row>
    <row r="855" spans="5:6">
      <c r="E855" s="5">
        <v>1479</v>
      </c>
      <c r="F855" s="6" t="s">
        <v>147</v>
      </c>
    </row>
    <row r="856" spans="5:6">
      <c r="E856" s="9">
        <v>1483</v>
      </c>
      <c r="F856" s="10" t="s">
        <v>146</v>
      </c>
    </row>
    <row r="857" spans="5:6">
      <c r="E857" s="5">
        <v>1484</v>
      </c>
      <c r="F857" s="6" t="s">
        <v>142</v>
      </c>
    </row>
    <row r="858" spans="5:6">
      <c r="E858" s="9">
        <v>1486</v>
      </c>
      <c r="F858" s="10" t="s">
        <v>138</v>
      </c>
    </row>
    <row r="859" spans="5:6">
      <c r="E859" s="5">
        <v>1488</v>
      </c>
      <c r="F859" s="6" t="s">
        <v>143</v>
      </c>
    </row>
    <row r="860" spans="5:6">
      <c r="E860" s="9">
        <v>1490</v>
      </c>
      <c r="F860" s="10" t="s">
        <v>148</v>
      </c>
    </row>
    <row r="861" spans="5:6">
      <c r="E861" s="5">
        <v>1492</v>
      </c>
      <c r="F861" s="6" t="s">
        <v>150</v>
      </c>
    </row>
    <row r="862" spans="5:6">
      <c r="E862" s="9">
        <v>1493</v>
      </c>
      <c r="F862" s="10" t="s">
        <v>151</v>
      </c>
    </row>
    <row r="863" spans="5:6">
      <c r="E863" s="5">
        <v>1496</v>
      </c>
      <c r="F863" s="6" t="s">
        <v>152</v>
      </c>
    </row>
    <row r="864" spans="5:6">
      <c r="E864" s="9">
        <v>1499</v>
      </c>
      <c r="F864" s="10" t="s">
        <v>154</v>
      </c>
    </row>
    <row r="865" spans="5:6">
      <c r="E865" s="5">
        <v>1500</v>
      </c>
      <c r="F865" s="6" t="s">
        <v>153</v>
      </c>
    </row>
    <row r="866" spans="5:6">
      <c r="E866" s="9">
        <v>1501</v>
      </c>
      <c r="F866" s="10" t="s">
        <v>157</v>
      </c>
    </row>
    <row r="867" spans="5:6">
      <c r="E867" s="5">
        <v>1503</v>
      </c>
      <c r="F867" s="6" t="s">
        <v>156</v>
      </c>
    </row>
    <row r="868" spans="5:6">
      <c r="E868" s="9">
        <v>1506</v>
      </c>
      <c r="F868" s="10" t="s">
        <v>159</v>
      </c>
    </row>
    <row r="869" spans="5:6">
      <c r="E869" s="5">
        <v>1507</v>
      </c>
      <c r="F869" s="6" t="s">
        <v>160</v>
      </c>
    </row>
    <row r="870" spans="5:6">
      <c r="E870" s="9">
        <v>1510</v>
      </c>
      <c r="F870" s="10" t="s">
        <v>1112</v>
      </c>
    </row>
    <row r="871" spans="5:6">
      <c r="E871" s="5">
        <v>1512</v>
      </c>
      <c r="F871" s="6" t="s">
        <v>332</v>
      </c>
    </row>
    <row r="872" spans="5:6">
      <c r="E872" s="9">
        <v>1513</v>
      </c>
      <c r="F872" s="10" t="s">
        <v>1115</v>
      </c>
    </row>
    <row r="873" spans="5:6">
      <c r="E873" s="5">
        <v>1514</v>
      </c>
      <c r="F873" s="6" t="s">
        <v>163</v>
      </c>
    </row>
    <row r="874" spans="5:6">
      <c r="E874" s="9">
        <v>1515</v>
      </c>
      <c r="F874" s="10" t="s">
        <v>1017</v>
      </c>
    </row>
    <row r="875" spans="5:6">
      <c r="E875" s="5">
        <v>1517</v>
      </c>
      <c r="F875" s="6" t="s">
        <v>1097</v>
      </c>
    </row>
    <row r="876" spans="5:6">
      <c r="E876" s="9">
        <v>1518</v>
      </c>
      <c r="F876" s="10" t="s">
        <v>23</v>
      </c>
    </row>
    <row r="877" spans="5:6">
      <c r="E877" s="5">
        <v>1519</v>
      </c>
      <c r="F877" s="6" t="s">
        <v>1089</v>
      </c>
    </row>
    <row r="878" spans="5:6">
      <c r="E878" s="9">
        <v>1520</v>
      </c>
      <c r="F878" s="10" t="s">
        <v>53</v>
      </c>
    </row>
    <row r="879" spans="5:6">
      <c r="E879" s="5">
        <v>1521</v>
      </c>
      <c r="F879" s="6" t="s">
        <v>127</v>
      </c>
    </row>
    <row r="880" spans="5:6">
      <c r="E880" s="9">
        <v>1522</v>
      </c>
      <c r="F880" s="10" t="s">
        <v>191</v>
      </c>
    </row>
    <row r="881" spans="5:6">
      <c r="E881" s="5">
        <v>1523</v>
      </c>
      <c r="F881" s="6" t="s">
        <v>938</v>
      </c>
    </row>
    <row r="882" spans="5:6">
      <c r="E882" s="9">
        <v>1524</v>
      </c>
      <c r="F882" s="10" t="s">
        <v>42</v>
      </c>
    </row>
    <row r="883" spans="5:6">
      <c r="E883" s="5">
        <v>1525</v>
      </c>
      <c r="F883" s="6" t="s">
        <v>490</v>
      </c>
    </row>
    <row r="884" spans="5:6">
      <c r="E884" s="9">
        <v>1526</v>
      </c>
      <c r="F884" s="10" t="s">
        <v>491</v>
      </c>
    </row>
    <row r="885" spans="5:6">
      <c r="E885" s="5">
        <v>1527</v>
      </c>
      <c r="F885" s="6" t="s">
        <v>128</v>
      </c>
    </row>
    <row r="886" spans="5:6">
      <c r="E886" s="9">
        <v>1528</v>
      </c>
      <c r="F886" s="10" t="s">
        <v>228</v>
      </c>
    </row>
    <row r="887" spans="5:6">
      <c r="E887" s="5">
        <v>1529</v>
      </c>
      <c r="F887" s="6" t="s">
        <v>26</v>
      </c>
    </row>
    <row r="888" spans="5:6">
      <c r="E888" s="9">
        <v>1530</v>
      </c>
      <c r="F888" s="10" t="s">
        <v>94</v>
      </c>
    </row>
    <row r="889" spans="5:6">
      <c r="E889" s="5">
        <v>1531</v>
      </c>
      <c r="F889" s="6" t="s">
        <v>540</v>
      </c>
    </row>
    <row r="890" spans="5:6">
      <c r="E890" s="9">
        <v>1532</v>
      </c>
      <c r="F890" s="10" t="s">
        <v>493</v>
      </c>
    </row>
    <row r="891" spans="5:6">
      <c r="E891" s="5">
        <v>1533</v>
      </c>
      <c r="F891" s="6" t="s">
        <v>1156</v>
      </c>
    </row>
    <row r="892" spans="5:6">
      <c r="E892" s="9">
        <v>1534</v>
      </c>
      <c r="F892" s="10" t="s">
        <v>61</v>
      </c>
    </row>
    <row r="893" spans="5:6">
      <c r="E893" s="5">
        <v>1535</v>
      </c>
      <c r="F893" s="6" t="s">
        <v>1111</v>
      </c>
    </row>
    <row r="894" spans="5:6">
      <c r="E894" s="9">
        <v>1536</v>
      </c>
      <c r="F894" s="10" t="s">
        <v>1110</v>
      </c>
    </row>
    <row r="895" spans="5:6">
      <c r="E895" s="5">
        <v>1539</v>
      </c>
      <c r="F895" s="6" t="s">
        <v>724</v>
      </c>
    </row>
    <row r="896" spans="5:6">
      <c r="E896" s="9">
        <v>1540</v>
      </c>
      <c r="F896" s="10" t="s">
        <v>556</v>
      </c>
    </row>
    <row r="897" spans="5:6">
      <c r="E897" s="5">
        <v>1541</v>
      </c>
      <c r="F897" s="6" t="s">
        <v>1062</v>
      </c>
    </row>
    <row r="898" spans="5:6">
      <c r="E898" s="9">
        <v>1542</v>
      </c>
      <c r="F898" s="10" t="s">
        <v>482</v>
      </c>
    </row>
    <row r="899" spans="5:6">
      <c r="E899" s="5">
        <v>1543</v>
      </c>
      <c r="F899" s="6" t="s">
        <v>598</v>
      </c>
    </row>
    <row r="900" spans="5:6">
      <c r="E900" s="9">
        <v>1545</v>
      </c>
      <c r="F900" s="10" t="s">
        <v>1137</v>
      </c>
    </row>
    <row r="901" spans="5:6">
      <c r="E901" s="5">
        <v>1546</v>
      </c>
      <c r="F901" s="6" t="s">
        <v>378</v>
      </c>
    </row>
    <row r="902" spans="5:6">
      <c r="E902" s="9">
        <v>1547</v>
      </c>
      <c r="F902" s="10" t="s">
        <v>375</v>
      </c>
    </row>
    <row r="903" spans="5:6">
      <c r="E903" s="5">
        <v>1550</v>
      </c>
      <c r="F903" s="6" t="s">
        <v>373</v>
      </c>
    </row>
    <row r="904" spans="5:6">
      <c r="E904" s="9">
        <v>1551</v>
      </c>
      <c r="F904" s="10" t="s">
        <v>379</v>
      </c>
    </row>
    <row r="905" spans="5:6">
      <c r="E905" s="5">
        <v>1552</v>
      </c>
      <c r="F905" s="6" t="s">
        <v>380</v>
      </c>
    </row>
    <row r="906" spans="5:6">
      <c r="E906" s="9">
        <v>1553</v>
      </c>
      <c r="F906" s="10" t="s">
        <v>600</v>
      </c>
    </row>
    <row r="907" spans="5:6">
      <c r="E907" s="5">
        <v>1554</v>
      </c>
      <c r="F907" s="6" t="s">
        <v>38</v>
      </c>
    </row>
    <row r="908" spans="5:6">
      <c r="E908" s="9">
        <v>1555</v>
      </c>
      <c r="F908" s="10" t="s">
        <v>1023</v>
      </c>
    </row>
    <row r="909" spans="5:6">
      <c r="E909" s="5">
        <v>1556</v>
      </c>
      <c r="F909" s="6" t="s">
        <v>604</v>
      </c>
    </row>
    <row r="910" spans="5:6">
      <c r="E910" s="9">
        <v>1557</v>
      </c>
      <c r="F910" s="10" t="s">
        <v>603</v>
      </c>
    </row>
    <row r="911" spans="5:6">
      <c r="E911" s="5">
        <v>1558</v>
      </c>
      <c r="F911" s="6" t="s">
        <v>592</v>
      </c>
    </row>
    <row r="912" spans="5:6">
      <c r="E912" s="9">
        <v>1559</v>
      </c>
      <c r="F912" s="10" t="s">
        <v>259</v>
      </c>
    </row>
    <row r="913" spans="5:6">
      <c r="E913" s="5">
        <v>1560</v>
      </c>
      <c r="F913" s="6" t="s">
        <v>612</v>
      </c>
    </row>
    <row r="914" spans="5:6">
      <c r="E914" s="9">
        <v>1561</v>
      </c>
      <c r="F914" s="10" t="s">
        <v>276</v>
      </c>
    </row>
    <row r="915" spans="5:6">
      <c r="E915" s="5">
        <v>1562</v>
      </c>
      <c r="F915" s="6" t="s">
        <v>495</v>
      </c>
    </row>
    <row r="916" spans="5:6">
      <c r="E916" s="9">
        <v>1563</v>
      </c>
      <c r="F916" s="10" t="s">
        <v>522</v>
      </c>
    </row>
    <row r="917" spans="5:6">
      <c r="E917" s="5">
        <v>1564</v>
      </c>
      <c r="F917" s="6" t="s">
        <v>1018</v>
      </c>
    </row>
    <row r="918" spans="5:6" ht="30">
      <c r="E918" s="9">
        <v>1565</v>
      </c>
      <c r="F918" s="10" t="s">
        <v>1170</v>
      </c>
    </row>
    <row r="919" spans="5:6">
      <c r="E919" s="5">
        <v>1566</v>
      </c>
      <c r="F919" s="6" t="s">
        <v>71</v>
      </c>
    </row>
    <row r="920" spans="5:6">
      <c r="E920" s="9">
        <v>1567</v>
      </c>
      <c r="F920" s="10" t="s">
        <v>54</v>
      </c>
    </row>
    <row r="921" spans="5:6">
      <c r="E921" s="5">
        <v>1568</v>
      </c>
      <c r="F921" s="6" t="s">
        <v>70</v>
      </c>
    </row>
    <row r="922" spans="5:6">
      <c r="E922" s="9">
        <v>1569</v>
      </c>
      <c r="F922" s="10" t="s">
        <v>546</v>
      </c>
    </row>
    <row r="923" spans="5:6">
      <c r="E923" s="5">
        <v>1570</v>
      </c>
      <c r="F923" s="6" t="s">
        <v>55</v>
      </c>
    </row>
    <row r="924" spans="5:6">
      <c r="E924" s="9">
        <v>1571</v>
      </c>
      <c r="F924" s="10" t="s">
        <v>56</v>
      </c>
    </row>
    <row r="925" spans="5:6">
      <c r="E925" s="5">
        <v>1572</v>
      </c>
      <c r="F925" s="6" t="s">
        <v>934</v>
      </c>
    </row>
    <row r="926" spans="5:6">
      <c r="E926" s="9">
        <v>1575</v>
      </c>
      <c r="F926" s="10" t="s">
        <v>41</v>
      </c>
    </row>
    <row r="927" spans="5:6">
      <c r="E927" s="5">
        <v>2205</v>
      </c>
      <c r="F927" s="6" t="s">
        <v>384</v>
      </c>
    </row>
    <row r="928" spans="5:6">
      <c r="E928" s="9">
        <v>2206</v>
      </c>
      <c r="F928" s="10" t="s">
        <v>949</v>
      </c>
    </row>
    <row r="929" spans="5:6">
      <c r="E929" s="5">
        <v>2207</v>
      </c>
      <c r="F929" s="6" t="s">
        <v>873</v>
      </c>
    </row>
    <row r="930" spans="5:6">
      <c r="E930" s="9">
        <v>2208</v>
      </c>
      <c r="F930" s="10" t="s">
        <v>722</v>
      </c>
    </row>
    <row r="931" spans="5:6">
      <c r="E931" s="5">
        <v>2209</v>
      </c>
      <c r="F931" s="6" t="s">
        <v>1076</v>
      </c>
    </row>
    <row r="932" spans="5:6">
      <c r="E932" s="9">
        <v>2210</v>
      </c>
      <c r="F932" s="10" t="s">
        <v>1074</v>
      </c>
    </row>
    <row r="933" spans="5:6">
      <c r="E933" s="5">
        <v>2211</v>
      </c>
      <c r="F933" s="6" t="s">
        <v>483</v>
      </c>
    </row>
    <row r="934" spans="5:6">
      <c r="E934" s="9">
        <v>2213</v>
      </c>
      <c r="F934" s="10" t="s">
        <v>879</v>
      </c>
    </row>
    <row r="935" spans="5:6">
      <c r="E935" s="5">
        <v>2214</v>
      </c>
      <c r="F935" s="6" t="s">
        <v>605</v>
      </c>
    </row>
    <row r="936" spans="5:6">
      <c r="E936" s="9">
        <v>2215</v>
      </c>
      <c r="F936" s="10" t="s">
        <v>692</v>
      </c>
    </row>
    <row r="937" spans="5:6">
      <c r="E937" s="5">
        <v>2217</v>
      </c>
      <c r="F937" s="6" t="s">
        <v>117</v>
      </c>
    </row>
    <row r="938" spans="5:6">
      <c r="E938" s="9">
        <v>2218</v>
      </c>
      <c r="F938" s="10" t="s">
        <v>118</v>
      </c>
    </row>
    <row r="939" spans="5:6">
      <c r="E939" s="5">
        <v>2219</v>
      </c>
      <c r="F939" s="6" t="s">
        <v>119</v>
      </c>
    </row>
    <row r="940" spans="5:6">
      <c r="E940" s="9">
        <v>2220</v>
      </c>
      <c r="F940" s="10" t="s">
        <v>120</v>
      </c>
    </row>
    <row r="941" spans="5:6">
      <c r="E941" s="5">
        <v>2223</v>
      </c>
      <c r="F941" s="6" t="s">
        <v>121</v>
      </c>
    </row>
    <row r="942" spans="5:6">
      <c r="E942" s="9">
        <v>2227</v>
      </c>
      <c r="F942" s="10" t="s">
        <v>126</v>
      </c>
    </row>
    <row r="943" spans="5:6">
      <c r="E943" s="5">
        <v>2228</v>
      </c>
      <c r="F943" s="6" t="s">
        <v>125</v>
      </c>
    </row>
    <row r="944" spans="5:6">
      <c r="E944" s="9">
        <v>2229</v>
      </c>
      <c r="F944" s="10" t="s">
        <v>123</v>
      </c>
    </row>
    <row r="945" spans="5:6">
      <c r="E945" s="5">
        <v>2230</v>
      </c>
      <c r="F945" s="6" t="s">
        <v>124</v>
      </c>
    </row>
    <row r="946" spans="5:6">
      <c r="E946" s="9">
        <v>2231</v>
      </c>
      <c r="F946" s="10" t="s">
        <v>1130</v>
      </c>
    </row>
    <row r="947" spans="5:6">
      <c r="E947" s="5">
        <v>2232</v>
      </c>
      <c r="F947" s="6" t="s">
        <v>1131</v>
      </c>
    </row>
    <row r="948" spans="5:6">
      <c r="E948" s="9">
        <v>2233</v>
      </c>
      <c r="F948" s="10" t="s">
        <v>1132</v>
      </c>
    </row>
    <row r="949" spans="5:6">
      <c r="E949" s="5">
        <v>2234</v>
      </c>
      <c r="F949" s="6" t="s">
        <v>769</v>
      </c>
    </row>
    <row r="950" spans="5:6">
      <c r="E950" s="9">
        <v>2235</v>
      </c>
      <c r="F950" s="10" t="s">
        <v>770</v>
      </c>
    </row>
    <row r="951" spans="5:6">
      <c r="E951" s="5">
        <v>2236</v>
      </c>
      <c r="F951" s="6" t="s">
        <v>771</v>
      </c>
    </row>
    <row r="952" spans="5:6">
      <c r="E952" s="9">
        <v>2237</v>
      </c>
      <c r="F952" s="10" t="s">
        <v>772</v>
      </c>
    </row>
    <row r="953" spans="5:6">
      <c r="E953" s="5">
        <v>2238</v>
      </c>
      <c r="F953" s="6" t="s">
        <v>1033</v>
      </c>
    </row>
    <row r="954" spans="5:6">
      <c r="E954" s="9">
        <v>2239</v>
      </c>
      <c r="F954" s="10" t="s">
        <v>862</v>
      </c>
    </row>
    <row r="955" spans="5:6">
      <c r="E955" s="5">
        <v>2240</v>
      </c>
      <c r="F955" s="6" t="s">
        <v>863</v>
      </c>
    </row>
    <row r="956" spans="5:6">
      <c r="E956" s="9">
        <v>2241</v>
      </c>
      <c r="F956" s="10" t="s">
        <v>864</v>
      </c>
    </row>
    <row r="957" spans="5:6">
      <c r="E957" s="5">
        <v>2242</v>
      </c>
      <c r="F957" s="6" t="s">
        <v>1094</v>
      </c>
    </row>
    <row r="958" spans="5:6">
      <c r="E958" s="9">
        <v>2245</v>
      </c>
      <c r="F958" s="10" t="s">
        <v>871</v>
      </c>
    </row>
    <row r="959" spans="5:6" ht="30">
      <c r="E959" s="5">
        <v>2246</v>
      </c>
      <c r="F959" s="6" t="s">
        <v>869</v>
      </c>
    </row>
    <row r="960" spans="5:6">
      <c r="E960" s="9">
        <v>2248</v>
      </c>
      <c r="F960" s="10" t="s">
        <v>859</v>
      </c>
    </row>
    <row r="961" spans="5:6">
      <c r="E961" s="5">
        <v>2250</v>
      </c>
      <c r="F961" s="6" t="s">
        <v>876</v>
      </c>
    </row>
    <row r="962" spans="5:6">
      <c r="E962" s="9">
        <v>2253</v>
      </c>
      <c r="F962" s="10" t="s">
        <v>872</v>
      </c>
    </row>
    <row r="963" spans="5:6">
      <c r="E963" s="5">
        <v>2258</v>
      </c>
      <c r="F963" s="6" t="s">
        <v>861</v>
      </c>
    </row>
    <row r="964" spans="5:6">
      <c r="E964" s="9">
        <v>2259</v>
      </c>
      <c r="F964" s="10" t="s">
        <v>868</v>
      </c>
    </row>
    <row r="965" spans="5:6">
      <c r="E965" s="5">
        <v>2260</v>
      </c>
      <c r="F965" s="6" t="s">
        <v>870</v>
      </c>
    </row>
    <row r="966" spans="5:6">
      <c r="E966" s="9">
        <v>2261</v>
      </c>
      <c r="F966" s="10" t="s">
        <v>224</v>
      </c>
    </row>
    <row r="967" spans="5:6">
      <c r="E967" s="5">
        <v>2262</v>
      </c>
      <c r="F967" s="6" t="s">
        <v>1008</v>
      </c>
    </row>
    <row r="968" spans="5:6">
      <c r="E968" s="9">
        <v>2263</v>
      </c>
      <c r="F968" s="10" t="s">
        <v>1009</v>
      </c>
    </row>
    <row r="969" spans="5:6">
      <c r="E969" s="5">
        <v>10091</v>
      </c>
      <c r="F969" s="6" t="s">
        <v>526</v>
      </c>
    </row>
    <row r="970" spans="5:6">
      <c r="E970" s="9">
        <v>11502</v>
      </c>
      <c r="F970" s="10" t="s">
        <v>267</v>
      </c>
    </row>
    <row r="971" spans="5:6">
      <c r="E971" s="5">
        <v>11503</v>
      </c>
      <c r="F971" s="6" t="s">
        <v>742</v>
      </c>
    </row>
    <row r="972" spans="5:6">
      <c r="E972" s="9">
        <v>17939</v>
      </c>
      <c r="F972" s="10" t="s">
        <v>1007</v>
      </c>
    </row>
    <row r="973" spans="5:6">
      <c r="E973" s="5">
        <v>19060</v>
      </c>
      <c r="F973" s="6" t="s">
        <v>919</v>
      </c>
    </row>
    <row r="974" spans="5:6">
      <c r="E974" s="9">
        <v>19567</v>
      </c>
      <c r="F974" s="10" t="s">
        <v>367</v>
      </c>
    </row>
    <row r="975" spans="5:6">
      <c r="E975" s="5">
        <v>19863</v>
      </c>
      <c r="F975" s="6" t="s">
        <v>920</v>
      </c>
    </row>
    <row r="976" spans="5:6">
      <c r="E976" s="9">
        <v>19864</v>
      </c>
      <c r="F976" s="10" t="s">
        <v>734</v>
      </c>
    </row>
    <row r="977" spans="5:6">
      <c r="E977" s="5">
        <v>19865</v>
      </c>
      <c r="F977" s="6" t="s">
        <v>827</v>
      </c>
    </row>
    <row r="978" spans="5:6">
      <c r="E978" s="9">
        <v>20525</v>
      </c>
      <c r="F978" s="10" t="s">
        <v>695</v>
      </c>
    </row>
    <row r="979" spans="5:6">
      <c r="E979" s="5">
        <v>20608</v>
      </c>
      <c r="F979" s="6" t="s">
        <v>735</v>
      </c>
    </row>
    <row r="980" spans="5:6">
      <c r="E980" s="9">
        <v>21235</v>
      </c>
      <c r="F980" s="10" t="s">
        <v>837</v>
      </c>
    </row>
    <row r="981" spans="5:6">
      <c r="E981" s="5">
        <v>21239</v>
      </c>
      <c r="F981" s="6" t="s">
        <v>551</v>
      </c>
    </row>
    <row r="982" spans="5:6">
      <c r="E982" s="9">
        <v>21279</v>
      </c>
      <c r="F982" s="10" t="s">
        <v>394</v>
      </c>
    </row>
    <row r="983" spans="5:6">
      <c r="E983" s="5">
        <v>21280</v>
      </c>
      <c r="F983" s="6" t="s">
        <v>473</v>
      </c>
    </row>
    <row r="984" spans="5:6">
      <c r="E984" s="9">
        <v>21281</v>
      </c>
      <c r="F984" s="10" t="s">
        <v>396</v>
      </c>
    </row>
    <row r="985" spans="5:6">
      <c r="E985" s="5">
        <v>21282</v>
      </c>
      <c r="F985" s="6" t="s">
        <v>394</v>
      </c>
    </row>
    <row r="986" spans="5:6">
      <c r="E986" s="9">
        <v>21283</v>
      </c>
      <c r="F986" s="10" t="s">
        <v>395</v>
      </c>
    </row>
    <row r="987" spans="5:6">
      <c r="E987" s="5">
        <v>21335</v>
      </c>
      <c r="F987" s="6" t="s">
        <v>782</v>
      </c>
    </row>
    <row r="988" spans="5:6">
      <c r="E988" s="9">
        <v>21336</v>
      </c>
      <c r="F988" s="10" t="s">
        <v>547</v>
      </c>
    </row>
    <row r="989" spans="5:6">
      <c r="E989" s="5">
        <v>21355</v>
      </c>
      <c r="F989" s="6" t="s">
        <v>187</v>
      </c>
    </row>
    <row r="990" spans="5:6">
      <c r="E990" s="9">
        <v>21356</v>
      </c>
      <c r="F990" s="10" t="s">
        <v>188</v>
      </c>
    </row>
    <row r="991" spans="5:6">
      <c r="E991" s="5">
        <v>21358</v>
      </c>
      <c r="F991" s="6" t="s">
        <v>185</v>
      </c>
    </row>
    <row r="992" spans="5:6">
      <c r="E992" s="9">
        <v>21359</v>
      </c>
      <c r="F992" s="10" t="s">
        <v>186</v>
      </c>
    </row>
    <row r="993" spans="5:6">
      <c r="E993" s="5">
        <v>21362</v>
      </c>
      <c r="F993" s="6" t="s">
        <v>184</v>
      </c>
    </row>
    <row r="994" spans="5:6">
      <c r="E994" s="9">
        <v>21363</v>
      </c>
      <c r="F994" s="10" t="s">
        <v>699</v>
      </c>
    </row>
    <row r="995" spans="5:6">
      <c r="E995" s="5">
        <v>21365</v>
      </c>
      <c r="F995" s="6" t="s">
        <v>700</v>
      </c>
    </row>
    <row r="996" spans="5:6">
      <c r="E996" s="9">
        <v>21368</v>
      </c>
      <c r="F996" s="10" t="s">
        <v>701</v>
      </c>
    </row>
    <row r="997" spans="5:6">
      <c r="E997" s="5">
        <v>21371</v>
      </c>
      <c r="F997" s="6" t="s">
        <v>203</v>
      </c>
    </row>
    <row r="998" spans="5:6">
      <c r="E998" s="9">
        <v>21373</v>
      </c>
      <c r="F998" s="10" t="s">
        <v>204</v>
      </c>
    </row>
    <row r="999" spans="5:6">
      <c r="E999" s="5">
        <v>21379</v>
      </c>
      <c r="F999" s="6" t="s">
        <v>1025</v>
      </c>
    </row>
    <row r="1000" spans="5:6">
      <c r="E1000" s="9">
        <v>21380</v>
      </c>
      <c r="F1000" s="10" t="s">
        <v>486</v>
      </c>
    </row>
    <row r="1001" spans="5:6">
      <c r="E1001" s="5">
        <v>21381</v>
      </c>
      <c r="F1001" s="6" t="s">
        <v>520</v>
      </c>
    </row>
    <row r="1002" spans="5:6">
      <c r="E1002" s="9">
        <v>21382</v>
      </c>
      <c r="F1002" s="10" t="s">
        <v>521</v>
      </c>
    </row>
    <row r="1003" spans="5:6">
      <c r="E1003" s="5">
        <v>21383</v>
      </c>
      <c r="F1003" s="6" t="s">
        <v>523</v>
      </c>
    </row>
    <row r="1004" spans="5:6">
      <c r="E1004" s="9">
        <v>21384</v>
      </c>
      <c r="F1004" s="10" t="s">
        <v>519</v>
      </c>
    </row>
    <row r="1005" spans="5:6">
      <c r="E1005" s="5">
        <v>21385</v>
      </c>
      <c r="F1005" s="6" t="s">
        <v>637</v>
      </c>
    </row>
    <row r="1006" spans="5:6">
      <c r="E1006" s="9">
        <v>21386</v>
      </c>
      <c r="F1006" s="10" t="s">
        <v>777</v>
      </c>
    </row>
    <row r="1007" spans="5:6">
      <c r="E1007" s="5">
        <v>21387</v>
      </c>
      <c r="F1007" s="6" t="s">
        <v>790</v>
      </c>
    </row>
    <row r="1008" spans="5:6">
      <c r="E1008" s="9">
        <v>21388</v>
      </c>
      <c r="F1008" s="10" t="s">
        <v>923</v>
      </c>
    </row>
    <row r="1009" spans="5:6">
      <c r="E1009" s="5">
        <v>21389</v>
      </c>
      <c r="F1009" s="6" t="s">
        <v>932</v>
      </c>
    </row>
    <row r="1010" spans="5:6">
      <c r="E1010" s="9">
        <v>21390</v>
      </c>
      <c r="F1010" s="10" t="s">
        <v>1042</v>
      </c>
    </row>
    <row r="1011" spans="5:6">
      <c r="E1011" s="5">
        <v>21392</v>
      </c>
      <c r="F1011" s="6" t="s">
        <v>1043</v>
      </c>
    </row>
    <row r="1012" spans="5:6">
      <c r="E1012" s="9">
        <v>21393</v>
      </c>
      <c r="F1012" s="10" t="s">
        <v>1068</v>
      </c>
    </row>
    <row r="1013" spans="5:6">
      <c r="E1013" s="5">
        <v>21394</v>
      </c>
      <c r="F1013" s="6" t="s">
        <v>1069</v>
      </c>
    </row>
    <row r="1014" spans="5:6">
      <c r="E1014" s="9">
        <v>21395</v>
      </c>
      <c r="F1014" s="10" t="s">
        <v>1101</v>
      </c>
    </row>
    <row r="1015" spans="5:6">
      <c r="E1015" s="5">
        <v>21396</v>
      </c>
      <c r="F1015" s="6" t="s">
        <v>1164</v>
      </c>
    </row>
    <row r="1016" spans="5:6">
      <c r="E1016" s="9">
        <v>21397</v>
      </c>
      <c r="F1016" s="10" t="s">
        <v>980</v>
      </c>
    </row>
    <row r="1017" spans="5:6">
      <c r="E1017" s="5">
        <v>21398</v>
      </c>
      <c r="F1017" s="6" t="s">
        <v>266</v>
      </c>
    </row>
    <row r="1018" spans="5:6">
      <c r="E1018" s="9">
        <v>21400</v>
      </c>
      <c r="F1018" s="10" t="s">
        <v>576</v>
      </c>
    </row>
    <row r="1019" spans="5:6">
      <c r="E1019" s="5">
        <v>21401</v>
      </c>
      <c r="F1019" s="6" t="s">
        <v>577</v>
      </c>
    </row>
    <row r="1020" spans="5:6">
      <c r="E1020" s="9">
        <v>21403</v>
      </c>
      <c r="F1020" s="10" t="s">
        <v>578</v>
      </c>
    </row>
    <row r="1021" spans="5:6">
      <c r="E1021" s="5">
        <v>21404</v>
      </c>
      <c r="F1021" s="6" t="s">
        <v>581</v>
      </c>
    </row>
    <row r="1022" spans="5:6">
      <c r="E1022" s="9">
        <v>21405</v>
      </c>
      <c r="F1022" s="10" t="s">
        <v>579</v>
      </c>
    </row>
    <row r="1023" spans="5:6">
      <c r="E1023" s="5">
        <v>21406</v>
      </c>
      <c r="F1023" s="6" t="s">
        <v>1061</v>
      </c>
    </row>
    <row r="1024" spans="5:6">
      <c r="E1024" s="9">
        <v>21407</v>
      </c>
      <c r="F1024" s="10" t="s">
        <v>1044</v>
      </c>
    </row>
    <row r="1025" spans="5:6">
      <c r="E1025" s="5">
        <v>21408</v>
      </c>
      <c r="F1025" s="6" t="s">
        <v>1020</v>
      </c>
    </row>
    <row r="1026" spans="5:6">
      <c r="E1026" s="9">
        <v>21409</v>
      </c>
      <c r="F1026" s="10" t="s">
        <v>1019</v>
      </c>
    </row>
    <row r="1027" spans="5:6">
      <c r="E1027" s="5">
        <v>21412</v>
      </c>
      <c r="F1027" s="6" t="s">
        <v>580</v>
      </c>
    </row>
    <row r="1028" spans="5:6">
      <c r="E1028" s="9">
        <v>21415</v>
      </c>
      <c r="F1028" s="10" t="s">
        <v>922</v>
      </c>
    </row>
    <row r="1029" spans="5:6">
      <c r="E1029" s="5">
        <v>21420</v>
      </c>
      <c r="F1029" s="6" t="s">
        <v>610</v>
      </c>
    </row>
    <row r="1030" spans="5:6">
      <c r="E1030" s="9">
        <v>21490</v>
      </c>
      <c r="F1030" s="10" t="s">
        <v>732</v>
      </c>
    </row>
    <row r="1031" spans="5:6">
      <c r="E1031" s="5">
        <v>21492</v>
      </c>
      <c r="F1031" s="6" t="s">
        <v>733</v>
      </c>
    </row>
    <row r="1032" spans="5:6">
      <c r="E1032" s="9">
        <v>21498</v>
      </c>
      <c r="F1032" s="10" t="s">
        <v>205</v>
      </c>
    </row>
    <row r="1033" spans="5:6">
      <c r="E1033" s="5">
        <v>21530</v>
      </c>
      <c r="F1033" s="6" t="s">
        <v>299</v>
      </c>
    </row>
    <row r="1034" spans="5:6">
      <c r="E1034" s="9">
        <v>21674</v>
      </c>
      <c r="F1034" s="10" t="s">
        <v>371</v>
      </c>
    </row>
    <row r="1035" spans="5:6">
      <c r="E1035" s="5">
        <v>21675</v>
      </c>
      <c r="F1035" s="6" t="s">
        <v>946</v>
      </c>
    </row>
    <row r="1036" spans="5:6">
      <c r="E1036" s="9">
        <v>21686</v>
      </c>
      <c r="F1036" s="10" t="s">
        <v>606</v>
      </c>
    </row>
    <row r="1037" spans="5:6">
      <c r="E1037" s="5">
        <v>21767</v>
      </c>
      <c r="F1037" s="6" t="s">
        <v>355</v>
      </c>
    </row>
    <row r="1038" spans="5:6">
      <c r="E1038" s="9">
        <v>21768</v>
      </c>
      <c r="F1038" s="10" t="s">
        <v>792</v>
      </c>
    </row>
    <row r="1039" spans="5:6" ht="30">
      <c r="E1039" s="5">
        <v>21792</v>
      </c>
      <c r="F1039" s="6" t="s">
        <v>1011</v>
      </c>
    </row>
    <row r="1040" spans="5:6">
      <c r="E1040" s="9">
        <v>21801</v>
      </c>
      <c r="F1040" s="10" t="s">
        <v>137</v>
      </c>
    </row>
    <row r="1041" spans="5:6">
      <c r="E1041" s="5">
        <v>21810</v>
      </c>
      <c r="F1041" s="6" t="s">
        <v>155</v>
      </c>
    </row>
    <row r="1042" spans="5:6">
      <c r="E1042" s="9">
        <v>21921</v>
      </c>
      <c r="F1042" s="10" t="s">
        <v>176</v>
      </c>
    </row>
    <row r="1043" spans="5:6">
      <c r="E1043" s="5">
        <v>21965</v>
      </c>
      <c r="F1043" s="6" t="s">
        <v>361</v>
      </c>
    </row>
    <row r="1044" spans="5:6">
      <c r="E1044" s="9">
        <v>21966</v>
      </c>
      <c r="F1044" s="10" t="s">
        <v>360</v>
      </c>
    </row>
    <row r="1045" spans="5:6">
      <c r="E1045" s="5">
        <v>21967</v>
      </c>
      <c r="F1045" s="6" t="s">
        <v>362</v>
      </c>
    </row>
    <row r="1046" spans="5:6">
      <c r="E1046" s="9">
        <v>22094</v>
      </c>
      <c r="F1046" s="10" t="s">
        <v>441</v>
      </c>
    </row>
    <row r="1047" spans="5:6">
      <c r="E1047" s="5">
        <v>22095</v>
      </c>
      <c r="F1047" s="6" t="s">
        <v>419</v>
      </c>
    </row>
    <row r="1048" spans="5:6">
      <c r="E1048" s="9">
        <v>22096</v>
      </c>
      <c r="F1048" s="10" t="s">
        <v>399</v>
      </c>
    </row>
    <row r="1049" spans="5:6">
      <c r="E1049" s="5">
        <v>22097</v>
      </c>
      <c r="F1049" s="6" t="s">
        <v>422</v>
      </c>
    </row>
    <row r="1050" spans="5:6">
      <c r="E1050" s="9">
        <v>22098</v>
      </c>
      <c r="F1050" s="10" t="s">
        <v>420</v>
      </c>
    </row>
    <row r="1051" spans="5:6">
      <c r="E1051" s="5">
        <v>22099</v>
      </c>
      <c r="F1051" s="6" t="s">
        <v>462</v>
      </c>
    </row>
    <row r="1052" spans="5:6">
      <c r="E1052" s="9">
        <v>22100</v>
      </c>
      <c r="F1052" s="10" t="s">
        <v>463</v>
      </c>
    </row>
    <row r="1053" spans="5:6">
      <c r="E1053" s="5">
        <v>22101</v>
      </c>
      <c r="F1053" s="6" t="s">
        <v>400</v>
      </c>
    </row>
    <row r="1054" spans="5:6">
      <c r="E1054" s="9">
        <v>22102</v>
      </c>
      <c r="F1054" s="10" t="s">
        <v>401</v>
      </c>
    </row>
    <row r="1055" spans="5:6">
      <c r="E1055" s="5">
        <v>22103</v>
      </c>
      <c r="F1055" s="6" t="s">
        <v>402</v>
      </c>
    </row>
    <row r="1056" spans="5:6">
      <c r="E1056" s="9">
        <v>22104</v>
      </c>
      <c r="F1056" s="10" t="s">
        <v>461</v>
      </c>
    </row>
    <row r="1057" spans="5:6">
      <c r="E1057" s="5">
        <v>22106</v>
      </c>
      <c r="F1057" s="6" t="s">
        <v>32</v>
      </c>
    </row>
    <row r="1058" spans="5:6">
      <c r="E1058" s="9">
        <v>22172</v>
      </c>
      <c r="F1058" s="10" t="s">
        <v>933</v>
      </c>
    </row>
    <row r="1059" spans="5:6">
      <c r="E1059" s="5">
        <v>22201</v>
      </c>
      <c r="F1059" s="6" t="s">
        <v>1072</v>
      </c>
    </row>
    <row r="1060" spans="5:6">
      <c r="E1060" s="9">
        <v>22252</v>
      </c>
      <c r="F1060" s="10" t="s">
        <v>762</v>
      </c>
    </row>
    <row r="1061" spans="5:6">
      <c r="E1061" s="5">
        <v>22253</v>
      </c>
      <c r="F1061" s="6" t="s">
        <v>763</v>
      </c>
    </row>
    <row r="1062" spans="5:6">
      <c r="E1062" s="9">
        <v>22254</v>
      </c>
      <c r="F1062" s="10" t="s">
        <v>764</v>
      </c>
    </row>
    <row r="1063" spans="5:6">
      <c r="E1063" s="5">
        <v>22255</v>
      </c>
      <c r="F1063" s="6" t="s">
        <v>761</v>
      </c>
    </row>
    <row r="1064" spans="5:6">
      <c r="E1064" s="9">
        <v>22256</v>
      </c>
      <c r="F1064" s="10" t="s">
        <v>759</v>
      </c>
    </row>
    <row r="1065" spans="5:6">
      <c r="E1065" s="5">
        <v>22258</v>
      </c>
      <c r="F1065" s="6" t="s">
        <v>760</v>
      </c>
    </row>
    <row r="1066" spans="5:6">
      <c r="E1066" s="9">
        <v>22309</v>
      </c>
      <c r="F1066" s="10" t="s">
        <v>114</v>
      </c>
    </row>
    <row r="1067" spans="5:6">
      <c r="E1067" s="5">
        <v>22329</v>
      </c>
      <c r="F1067" s="6" t="s">
        <v>43</v>
      </c>
    </row>
    <row r="1068" spans="5:6">
      <c r="E1068" s="9">
        <v>22330</v>
      </c>
      <c r="F1068" s="10" t="s">
        <v>44</v>
      </c>
    </row>
    <row r="1069" spans="5:6">
      <c r="E1069" s="5">
        <v>22356</v>
      </c>
      <c r="F1069" s="6" t="s">
        <v>982</v>
      </c>
    </row>
    <row r="1070" spans="5:6">
      <c r="E1070" s="9">
        <v>22372</v>
      </c>
      <c r="F1070" s="10" t="s">
        <v>517</v>
      </c>
    </row>
    <row r="1071" spans="5:6">
      <c r="E1071" s="5">
        <v>22373</v>
      </c>
      <c r="F1071" s="6" t="s">
        <v>1108</v>
      </c>
    </row>
    <row r="1072" spans="5:6">
      <c r="E1072" s="9">
        <v>22374</v>
      </c>
      <c r="F1072" s="10" t="s">
        <v>755</v>
      </c>
    </row>
    <row r="1073" spans="5:6">
      <c r="E1073" s="5">
        <v>22375</v>
      </c>
      <c r="F1073" s="6" t="s">
        <v>754</v>
      </c>
    </row>
    <row r="1074" spans="5:6">
      <c r="E1074" s="9">
        <v>22376</v>
      </c>
      <c r="F1074" s="10" t="s">
        <v>336</v>
      </c>
    </row>
    <row r="1075" spans="5:6">
      <c r="E1075" s="5">
        <v>22377</v>
      </c>
      <c r="F1075" s="6" t="s">
        <v>515</v>
      </c>
    </row>
    <row r="1076" spans="5:6">
      <c r="E1076" s="9">
        <v>22378</v>
      </c>
      <c r="F1076" s="10" t="s">
        <v>514</v>
      </c>
    </row>
    <row r="1077" spans="5:6">
      <c r="E1077" s="5">
        <v>22379</v>
      </c>
      <c r="F1077" s="6" t="s">
        <v>516</v>
      </c>
    </row>
    <row r="1078" spans="5:6">
      <c r="E1078" s="9">
        <v>22380</v>
      </c>
      <c r="F1078" s="10" t="s">
        <v>108</v>
      </c>
    </row>
    <row r="1079" spans="5:6">
      <c r="E1079" s="5">
        <v>22381</v>
      </c>
      <c r="F1079" s="6" t="s">
        <v>927</v>
      </c>
    </row>
    <row r="1080" spans="5:6">
      <c r="E1080" s="9">
        <v>22382</v>
      </c>
      <c r="F1080" s="10" t="s">
        <v>928</v>
      </c>
    </row>
    <row r="1081" spans="5:6">
      <c r="E1081" s="5">
        <v>22521</v>
      </c>
      <c r="F1081" s="6" t="s">
        <v>368</v>
      </c>
    </row>
    <row r="1082" spans="5:6">
      <c r="E1082" s="9">
        <v>22522</v>
      </c>
      <c r="F1082" s="10" t="s">
        <v>369</v>
      </c>
    </row>
    <row r="1083" spans="5:6">
      <c r="E1083" s="5">
        <v>22593</v>
      </c>
      <c r="F1083" s="6" t="s">
        <v>1080</v>
      </c>
    </row>
    <row r="1084" spans="5:6">
      <c r="E1084" s="9">
        <v>22612</v>
      </c>
      <c r="F1084" s="10" t="s">
        <v>1088</v>
      </c>
    </row>
    <row r="1085" spans="5:6">
      <c r="E1085" s="5">
        <v>22632</v>
      </c>
      <c r="F1085" s="6" t="s">
        <v>943</v>
      </c>
    </row>
    <row r="1086" spans="5:6">
      <c r="E1086" s="9">
        <v>22633</v>
      </c>
      <c r="F1086" s="10" t="s">
        <v>944</v>
      </c>
    </row>
    <row r="1087" spans="5:6">
      <c r="E1087" s="5">
        <v>22692</v>
      </c>
      <c r="F1087" s="6" t="s">
        <v>354</v>
      </c>
    </row>
    <row r="1088" spans="5:6">
      <c r="E1088" s="9">
        <v>22695</v>
      </c>
      <c r="F1088" s="10" t="s">
        <v>344</v>
      </c>
    </row>
    <row r="1089" spans="5:6">
      <c r="E1089" s="5">
        <v>22713</v>
      </c>
      <c r="F1089" s="6" t="s">
        <v>353</v>
      </c>
    </row>
    <row r="1090" spans="5:6">
      <c r="E1090" s="9">
        <v>22724</v>
      </c>
      <c r="F1090" s="10" t="s">
        <v>356</v>
      </c>
    </row>
    <row r="1091" spans="5:6">
      <c r="E1091" s="5">
        <v>22725</v>
      </c>
      <c r="F1091" s="6" t="s">
        <v>351</v>
      </c>
    </row>
    <row r="1092" spans="5:6">
      <c r="E1092" s="9">
        <v>22726</v>
      </c>
      <c r="F1092" s="10" t="s">
        <v>350</v>
      </c>
    </row>
    <row r="1093" spans="5:6">
      <c r="E1093" s="5">
        <v>22727</v>
      </c>
      <c r="F1093" s="6" t="s">
        <v>348</v>
      </c>
    </row>
    <row r="1094" spans="5:6">
      <c r="E1094" s="9">
        <v>22728</v>
      </c>
      <c r="F1094" s="10" t="s">
        <v>357</v>
      </c>
    </row>
    <row r="1095" spans="5:6">
      <c r="E1095" s="5">
        <v>22799</v>
      </c>
      <c r="F1095" s="6" t="s">
        <v>352</v>
      </c>
    </row>
    <row r="1096" spans="5:6" ht="30">
      <c r="E1096" s="9">
        <v>22814</v>
      </c>
      <c r="F1096" s="10" t="s">
        <v>999</v>
      </c>
    </row>
    <row r="1097" spans="5:6">
      <c r="E1097" s="5">
        <v>22815</v>
      </c>
      <c r="F1097" s="6" t="s">
        <v>342</v>
      </c>
    </row>
    <row r="1098" spans="5:6">
      <c r="E1098" s="9">
        <v>22821</v>
      </c>
      <c r="F1098" s="10" t="s">
        <v>190</v>
      </c>
    </row>
    <row r="1099" spans="5:6">
      <c r="E1099" s="5">
        <v>22823</v>
      </c>
      <c r="F1099" s="6" t="s">
        <v>1125</v>
      </c>
    </row>
    <row r="1100" spans="5:6">
      <c r="E1100" s="9">
        <v>22898</v>
      </c>
      <c r="F1100" s="10" t="s">
        <v>1087</v>
      </c>
    </row>
    <row r="1101" spans="5:6">
      <c r="E1101" s="5">
        <v>22946</v>
      </c>
      <c r="F1101" s="6" t="s">
        <v>765</v>
      </c>
    </row>
    <row r="1102" spans="5:6">
      <c r="E1102" s="9">
        <v>22949</v>
      </c>
      <c r="F1102" s="10" t="s">
        <v>758</v>
      </c>
    </row>
    <row r="1103" spans="5:6">
      <c r="E1103" s="5">
        <v>23103</v>
      </c>
      <c r="F1103" s="6" t="s">
        <v>303</v>
      </c>
    </row>
    <row r="1104" spans="5:6">
      <c r="E1104" s="9">
        <v>23190</v>
      </c>
      <c r="F1104" s="10" t="s">
        <v>902</v>
      </c>
    </row>
    <row r="1105" spans="5:6">
      <c r="E1105" s="5">
        <v>23273</v>
      </c>
      <c r="F1105" s="6" t="s">
        <v>1098</v>
      </c>
    </row>
    <row r="1106" spans="5:6">
      <c r="E1106" s="9">
        <v>23447</v>
      </c>
      <c r="F1106" s="10" t="s">
        <v>208</v>
      </c>
    </row>
    <row r="1107" spans="5:6">
      <c r="E1107" s="5">
        <v>23565</v>
      </c>
      <c r="F1107" s="6" t="s">
        <v>1106</v>
      </c>
    </row>
    <row r="1108" spans="5:6">
      <c r="E1108" s="9">
        <v>23566</v>
      </c>
      <c r="F1108" s="10" t="s">
        <v>1107</v>
      </c>
    </row>
    <row r="1109" spans="5:6">
      <c r="E1109" s="5">
        <v>23567</v>
      </c>
      <c r="F1109" s="6" t="s">
        <v>1104</v>
      </c>
    </row>
    <row r="1110" spans="5:6">
      <c r="E1110" s="9">
        <v>23568</v>
      </c>
      <c r="F1110" s="10" t="s">
        <v>1105</v>
      </c>
    </row>
    <row r="1111" spans="5:6">
      <c r="E1111" s="5">
        <v>23658</v>
      </c>
      <c r="F1111" s="6" t="s">
        <v>347</v>
      </c>
    </row>
    <row r="1112" spans="5:6">
      <c r="E1112" s="9">
        <v>23672</v>
      </c>
      <c r="F1112" s="10" t="s">
        <v>1084</v>
      </c>
    </row>
    <row r="1113" spans="5:6">
      <c r="E1113" s="5">
        <v>23714</v>
      </c>
      <c r="F1113" s="6" t="s">
        <v>1126</v>
      </c>
    </row>
    <row r="1114" spans="5:6">
      <c r="E1114" s="9">
        <v>23715</v>
      </c>
      <c r="F1114" s="10" t="s">
        <v>1081</v>
      </c>
    </row>
    <row r="1115" spans="5:6">
      <c r="E1115" s="5">
        <v>23744</v>
      </c>
      <c r="F1115" s="6" t="s">
        <v>958</v>
      </c>
    </row>
    <row r="1116" spans="5:6">
      <c r="E1116" s="9">
        <v>23745</v>
      </c>
      <c r="F1116" s="10" t="s">
        <v>957</v>
      </c>
    </row>
    <row r="1117" spans="5:6">
      <c r="E1117" s="5">
        <v>23748</v>
      </c>
      <c r="F1117" s="6" t="s">
        <v>959</v>
      </c>
    </row>
    <row r="1118" spans="5:6">
      <c r="E1118" s="9">
        <v>23866</v>
      </c>
      <c r="F1118" s="10" t="s">
        <v>865</v>
      </c>
    </row>
    <row r="1119" spans="5:6">
      <c r="E1119" s="5">
        <v>23887</v>
      </c>
      <c r="F1119" s="6" t="s">
        <v>207</v>
      </c>
    </row>
    <row r="1120" spans="5:6">
      <c r="E1120" s="9">
        <v>23935</v>
      </c>
      <c r="F1120" s="10" t="s">
        <v>18</v>
      </c>
    </row>
    <row r="1121" spans="5:6">
      <c r="E1121" s="5">
        <v>23936</v>
      </c>
      <c r="F1121" s="6" t="s">
        <v>17</v>
      </c>
    </row>
    <row r="1122" spans="5:6" ht="30">
      <c r="E1122" s="9">
        <v>23939</v>
      </c>
      <c r="F1122" s="10" t="s">
        <v>877</v>
      </c>
    </row>
    <row r="1123" spans="5:6">
      <c r="E1123" s="5">
        <v>23956</v>
      </c>
      <c r="F1123" s="6" t="s">
        <v>1003</v>
      </c>
    </row>
    <row r="1124" spans="5:6" ht="30">
      <c r="E1124" s="9">
        <v>23970</v>
      </c>
      <c r="F1124" s="10" t="s">
        <v>898</v>
      </c>
    </row>
    <row r="1125" spans="5:6">
      <c r="E1125" s="5">
        <v>24091</v>
      </c>
      <c r="F1125" s="6" t="s">
        <v>981</v>
      </c>
    </row>
    <row r="1126" spans="5:6">
      <c r="E1126" s="9">
        <v>24192</v>
      </c>
      <c r="F1126" s="10" t="s">
        <v>93</v>
      </c>
    </row>
    <row r="1127" spans="5:6">
      <c r="E1127" s="5">
        <v>24220</v>
      </c>
      <c r="F1127" s="6" t="s">
        <v>921</v>
      </c>
    </row>
    <row r="1128" spans="5:6">
      <c r="E1128" s="9">
        <v>24342</v>
      </c>
      <c r="F1128" s="10" t="s">
        <v>994</v>
      </c>
    </row>
    <row r="1129" spans="5:6">
      <c r="E1129" s="5">
        <v>24349</v>
      </c>
      <c r="F1129" s="6" t="s">
        <v>841</v>
      </c>
    </row>
    <row r="1130" spans="5:6">
      <c r="E1130" s="9">
        <v>24352</v>
      </c>
      <c r="F1130" s="10" t="s">
        <v>1024</v>
      </c>
    </row>
    <row r="1131" spans="5:6">
      <c r="E1131" s="5">
        <v>24353</v>
      </c>
      <c r="F1131" s="6" t="s">
        <v>962</v>
      </c>
    </row>
    <row r="1132" spans="5:6">
      <c r="E1132" s="9">
        <v>24354</v>
      </c>
      <c r="F1132" s="10" t="s">
        <v>963</v>
      </c>
    </row>
    <row r="1133" spans="5:6">
      <c r="E1133" s="5">
        <v>24355</v>
      </c>
      <c r="F1133" s="6" t="s">
        <v>964</v>
      </c>
    </row>
    <row r="1134" spans="5:6">
      <c r="E1134" s="9">
        <v>24356</v>
      </c>
      <c r="F1134" s="10" t="s">
        <v>965</v>
      </c>
    </row>
    <row r="1135" spans="5:6">
      <c r="E1135" s="5">
        <v>24357</v>
      </c>
      <c r="F1135" s="6" t="s">
        <v>966</v>
      </c>
    </row>
    <row r="1136" spans="5:6">
      <c r="E1136" s="9">
        <v>24441</v>
      </c>
      <c r="F1136" s="10" t="s">
        <v>306</v>
      </c>
    </row>
    <row r="1137" spans="5:6">
      <c r="E1137" s="5">
        <v>24492</v>
      </c>
      <c r="F1137" s="6" t="s">
        <v>652</v>
      </c>
    </row>
    <row r="1138" spans="5:6">
      <c r="E1138" s="9">
        <v>24494</v>
      </c>
      <c r="F1138" s="10" t="s">
        <v>867</v>
      </c>
    </row>
    <row r="1139" spans="5:6">
      <c r="E1139" s="5">
        <v>24500</v>
      </c>
      <c r="F1139" s="6" t="s">
        <v>349</v>
      </c>
    </row>
    <row r="1140" spans="5:6">
      <c r="E1140" s="9">
        <v>24508</v>
      </c>
      <c r="F1140" s="10" t="s">
        <v>536</v>
      </c>
    </row>
    <row r="1141" spans="5:6">
      <c r="E1141" s="5">
        <v>24518</v>
      </c>
      <c r="F1141" s="6" t="s">
        <v>553</v>
      </c>
    </row>
    <row r="1142" spans="5:6">
      <c r="E1142" s="9">
        <v>24529</v>
      </c>
      <c r="F1142" s="10" t="s">
        <v>535</v>
      </c>
    </row>
    <row r="1143" spans="5:6">
      <c r="E1143" s="5">
        <v>24536</v>
      </c>
      <c r="F1143" s="6" t="s">
        <v>1133</v>
      </c>
    </row>
    <row r="1144" spans="5:6">
      <c r="E1144" s="9">
        <v>24537</v>
      </c>
      <c r="F1144" s="10" t="s">
        <v>329</v>
      </c>
    </row>
    <row r="1145" spans="5:6">
      <c r="E1145" s="5">
        <v>24538</v>
      </c>
      <c r="F1145" s="6" t="s">
        <v>314</v>
      </c>
    </row>
    <row r="1146" spans="5:6">
      <c r="E1146" s="9">
        <v>24539</v>
      </c>
      <c r="F1146" s="10" t="s">
        <v>330</v>
      </c>
    </row>
    <row r="1147" spans="5:6">
      <c r="E1147" s="5">
        <v>24540</v>
      </c>
      <c r="F1147" s="6" t="s">
        <v>315</v>
      </c>
    </row>
    <row r="1148" spans="5:6">
      <c r="E1148" s="9">
        <v>24541</v>
      </c>
      <c r="F1148" s="10" t="s">
        <v>316</v>
      </c>
    </row>
    <row r="1149" spans="5:6">
      <c r="E1149" s="5">
        <v>24542</v>
      </c>
      <c r="F1149" s="6" t="s">
        <v>318</v>
      </c>
    </row>
    <row r="1150" spans="5:6">
      <c r="E1150" s="9">
        <v>24543</v>
      </c>
      <c r="F1150" s="10" t="s">
        <v>319</v>
      </c>
    </row>
    <row r="1151" spans="5:6">
      <c r="E1151" s="5">
        <v>24544</v>
      </c>
      <c r="F1151" s="6" t="s">
        <v>317</v>
      </c>
    </row>
    <row r="1152" spans="5:6">
      <c r="E1152" s="9">
        <v>24583</v>
      </c>
      <c r="F1152" s="10" t="s">
        <v>866</v>
      </c>
    </row>
    <row r="1153" spans="5:6">
      <c r="E1153" s="5">
        <v>24607</v>
      </c>
      <c r="F1153" s="6" t="s">
        <v>720</v>
      </c>
    </row>
    <row r="1154" spans="5:6">
      <c r="E1154" s="9">
        <v>24698</v>
      </c>
      <c r="F1154" s="10" t="s">
        <v>345</v>
      </c>
    </row>
    <row r="1155" spans="5:6">
      <c r="E1155" s="5">
        <v>24699</v>
      </c>
      <c r="F1155" s="6" t="s">
        <v>346</v>
      </c>
    </row>
    <row r="1156" spans="5:6">
      <c r="E1156" s="9">
        <v>24701</v>
      </c>
      <c r="F1156" s="10" t="s">
        <v>206</v>
      </c>
    </row>
    <row r="1157" spans="5:6">
      <c r="E1157" s="5">
        <v>24723</v>
      </c>
      <c r="F1157" s="6" t="s">
        <v>37</v>
      </c>
    </row>
    <row r="1158" spans="5:6">
      <c r="E1158" s="9">
        <v>24783</v>
      </c>
      <c r="F1158" s="10" t="s">
        <v>908</v>
      </c>
    </row>
    <row r="1159" spans="5:6">
      <c r="E1159" s="5">
        <v>24902</v>
      </c>
      <c r="F1159" s="6" t="s">
        <v>820</v>
      </c>
    </row>
    <row r="1160" spans="5:6">
      <c r="E1160" s="9">
        <v>24903</v>
      </c>
      <c r="F1160" s="10" t="s">
        <v>822</v>
      </c>
    </row>
    <row r="1161" spans="5:6">
      <c r="E1161" s="5">
        <v>24904</v>
      </c>
      <c r="F1161" s="6" t="s">
        <v>784</v>
      </c>
    </row>
    <row r="1162" spans="5:6">
      <c r="E1162" s="9">
        <v>24905</v>
      </c>
      <c r="F1162" s="10" t="s">
        <v>674</v>
      </c>
    </row>
    <row r="1163" spans="5:6">
      <c r="E1163" s="5">
        <v>24941</v>
      </c>
      <c r="F1163" s="6" t="s">
        <v>343</v>
      </c>
    </row>
    <row r="1164" spans="5:6">
      <c r="E1164" s="9">
        <v>25105</v>
      </c>
      <c r="F1164" s="10" t="s">
        <v>328</v>
      </c>
    </row>
    <row r="1165" spans="5:6">
      <c r="E1165" s="5">
        <v>25114</v>
      </c>
      <c r="F1165" s="6" t="s">
        <v>1082</v>
      </c>
    </row>
    <row r="1166" spans="5:6">
      <c r="E1166" s="9">
        <v>25115</v>
      </c>
      <c r="F1166" s="10" t="s">
        <v>1086</v>
      </c>
    </row>
    <row r="1167" spans="5:6">
      <c r="E1167" s="5">
        <v>25146</v>
      </c>
      <c r="F1167" s="6" t="s">
        <v>181</v>
      </c>
    </row>
    <row r="1168" spans="5:6">
      <c r="E1168" s="9">
        <v>25159</v>
      </c>
      <c r="F1168" s="10" t="s">
        <v>821</v>
      </c>
    </row>
    <row r="1169" spans="5:6">
      <c r="E1169" s="5">
        <v>25236</v>
      </c>
      <c r="F1169" s="6" t="s">
        <v>530</v>
      </c>
    </row>
    <row r="1170" spans="5:6">
      <c r="E1170" s="9">
        <v>25239</v>
      </c>
      <c r="F1170" s="10" t="s">
        <v>875</v>
      </c>
    </row>
    <row r="1171" spans="5:6">
      <c r="E1171" s="5">
        <v>25240</v>
      </c>
      <c r="F1171" s="6" t="s">
        <v>874</v>
      </c>
    </row>
    <row r="1172" spans="5:6">
      <c r="E1172" s="9">
        <v>25241</v>
      </c>
      <c r="F1172" s="10" t="s">
        <v>531</v>
      </c>
    </row>
    <row r="1173" spans="5:6">
      <c r="E1173" s="5">
        <v>25272</v>
      </c>
      <c r="F1173" s="6" t="s">
        <v>639</v>
      </c>
    </row>
    <row r="1174" spans="5:6">
      <c r="E1174" s="9">
        <v>25324</v>
      </c>
      <c r="F1174" s="10" t="s">
        <v>979</v>
      </c>
    </row>
    <row r="1175" spans="5:6">
      <c r="E1175" s="5">
        <v>25325</v>
      </c>
      <c r="F1175" s="6" t="s">
        <v>973</v>
      </c>
    </row>
  </sheetData>
  <sortState xmlns:xlrd2="http://schemas.microsoft.com/office/spreadsheetml/2017/richdata2" ref="A2:A20">
    <sortCondition ref="A2:A20"/>
  </sortState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9B3B-1BE3-48A5-A4A1-B884B9A04871}">
  <sheetPr codeName="Hoja4"/>
  <dimension ref="A1:C1176"/>
  <sheetViews>
    <sheetView topLeftCell="A1163" workbookViewId="0">
      <selection activeCell="A1176" sqref="A1176:B1176"/>
    </sheetView>
  </sheetViews>
  <sheetFormatPr baseColWidth="10" defaultColWidth="59.85546875" defaultRowHeight="15"/>
  <cols>
    <col min="1" max="1" width="9.28515625" customWidth="1"/>
  </cols>
  <sheetData>
    <row r="1" spans="1:2">
      <c r="A1" s="8" t="s">
        <v>7</v>
      </c>
      <c r="B1" s="8" t="s">
        <v>8</v>
      </c>
    </row>
    <row r="2" spans="1:2" ht="30">
      <c r="A2" s="5">
        <v>2</v>
      </c>
      <c r="B2" s="6" t="s">
        <v>199</v>
      </c>
    </row>
    <row r="3" spans="1:2" ht="30">
      <c r="A3" s="5">
        <v>3</v>
      </c>
      <c r="B3" s="6" t="s">
        <v>1148</v>
      </c>
    </row>
    <row r="4" spans="1:2">
      <c r="A4" s="5">
        <v>4</v>
      </c>
      <c r="B4" s="6" t="s">
        <v>24</v>
      </c>
    </row>
    <row r="5" spans="1:2">
      <c r="A5" s="5">
        <v>5</v>
      </c>
      <c r="B5" s="6" t="s">
        <v>225</v>
      </c>
    </row>
    <row r="6" spans="1:2">
      <c r="A6" s="5">
        <v>8</v>
      </c>
      <c r="B6" s="6" t="s">
        <v>168</v>
      </c>
    </row>
    <row r="7" spans="1:2">
      <c r="A7" s="5">
        <v>12</v>
      </c>
      <c r="B7" s="6" t="s">
        <v>202</v>
      </c>
    </row>
    <row r="8" spans="1:2">
      <c r="A8" s="5">
        <v>13</v>
      </c>
      <c r="B8" s="6" t="s">
        <v>855</v>
      </c>
    </row>
    <row r="9" spans="1:2">
      <c r="A9" s="5">
        <v>14</v>
      </c>
      <c r="B9" s="6" t="s">
        <v>850</v>
      </c>
    </row>
    <row r="10" spans="1:2">
      <c r="A10" s="5">
        <v>15</v>
      </c>
      <c r="B10" s="6" t="s">
        <v>1140</v>
      </c>
    </row>
    <row r="11" spans="1:2">
      <c r="A11" s="5">
        <v>20</v>
      </c>
      <c r="B11" s="6" t="s">
        <v>995</v>
      </c>
    </row>
    <row r="12" spans="1:2">
      <c r="A12" s="5">
        <v>22</v>
      </c>
      <c r="B12" s="6" t="s">
        <v>111</v>
      </c>
    </row>
    <row r="13" spans="1:2">
      <c r="A13" s="5">
        <v>24</v>
      </c>
      <c r="B13" s="6" t="s">
        <v>161</v>
      </c>
    </row>
    <row r="14" spans="1:2">
      <c r="A14" s="5">
        <v>29</v>
      </c>
      <c r="B14" s="6" t="s">
        <v>223</v>
      </c>
    </row>
    <row r="15" spans="1:2">
      <c r="A15" s="5">
        <v>50</v>
      </c>
      <c r="B15" s="6" t="s">
        <v>305</v>
      </c>
    </row>
    <row r="16" spans="1:2">
      <c r="A16" s="5">
        <v>95</v>
      </c>
      <c r="B16" s="6" t="s">
        <v>651</v>
      </c>
    </row>
    <row r="17" spans="1:2">
      <c r="A17" s="5">
        <v>97</v>
      </c>
      <c r="B17" s="6" t="s">
        <v>654</v>
      </c>
    </row>
    <row r="18" spans="1:2">
      <c r="A18" s="5">
        <v>100</v>
      </c>
      <c r="B18" s="6" t="s">
        <v>1075</v>
      </c>
    </row>
    <row r="19" spans="1:2">
      <c r="A19" s="5">
        <v>102</v>
      </c>
      <c r="B19" s="6" t="s">
        <v>856</v>
      </c>
    </row>
    <row r="20" spans="1:2">
      <c r="A20" s="5">
        <v>103</v>
      </c>
      <c r="B20" s="6" t="s">
        <v>1083</v>
      </c>
    </row>
    <row r="21" spans="1:2">
      <c r="A21" s="5">
        <v>109</v>
      </c>
      <c r="B21" s="6" t="s">
        <v>713</v>
      </c>
    </row>
    <row r="22" spans="1:2">
      <c r="A22" s="5">
        <v>143</v>
      </c>
      <c r="B22" s="6" t="s">
        <v>845</v>
      </c>
    </row>
    <row r="23" spans="1:2">
      <c r="A23" s="5">
        <v>159</v>
      </c>
      <c r="B23" s="6" t="s">
        <v>51</v>
      </c>
    </row>
    <row r="24" spans="1:2">
      <c r="A24" s="5">
        <v>188</v>
      </c>
      <c r="B24" s="6" t="s">
        <v>27</v>
      </c>
    </row>
    <row r="25" spans="1:2">
      <c r="A25" s="5">
        <v>189</v>
      </c>
      <c r="B25" s="6" t="s">
        <v>852</v>
      </c>
    </row>
    <row r="26" spans="1:2">
      <c r="A26" s="5">
        <v>190</v>
      </c>
      <c r="B26" s="6" t="s">
        <v>45</v>
      </c>
    </row>
    <row r="27" spans="1:2">
      <c r="A27" s="5">
        <v>191</v>
      </c>
      <c r="B27" s="6" t="s">
        <v>46</v>
      </c>
    </row>
    <row r="28" spans="1:2">
      <c r="A28" s="5">
        <v>192</v>
      </c>
      <c r="B28" s="6" t="s">
        <v>48</v>
      </c>
    </row>
    <row r="29" spans="1:2">
      <c r="A29" s="5">
        <v>193</v>
      </c>
      <c r="B29" s="6" t="s">
        <v>49</v>
      </c>
    </row>
    <row r="30" spans="1:2">
      <c r="A30" s="5">
        <v>195</v>
      </c>
      <c r="B30" s="6" t="s">
        <v>52</v>
      </c>
    </row>
    <row r="31" spans="1:2">
      <c r="A31" s="5">
        <v>196</v>
      </c>
      <c r="B31" s="6" t="s">
        <v>59</v>
      </c>
    </row>
    <row r="32" spans="1:2">
      <c r="A32" s="5">
        <v>198</v>
      </c>
      <c r="B32" s="6" t="s">
        <v>64</v>
      </c>
    </row>
    <row r="33" spans="1:2">
      <c r="A33" s="5">
        <v>200</v>
      </c>
      <c r="B33" s="6" t="s">
        <v>85</v>
      </c>
    </row>
    <row r="34" spans="1:2">
      <c r="A34" s="5">
        <v>201</v>
      </c>
      <c r="B34" s="6" t="s">
        <v>86</v>
      </c>
    </row>
    <row r="35" spans="1:2">
      <c r="A35" s="5">
        <v>202</v>
      </c>
      <c r="B35" s="6" t="s">
        <v>87</v>
      </c>
    </row>
    <row r="36" spans="1:2" ht="30">
      <c r="A36" s="5">
        <v>205</v>
      </c>
      <c r="B36" s="6" t="s">
        <v>88</v>
      </c>
    </row>
    <row r="37" spans="1:2">
      <c r="A37" s="5">
        <v>209</v>
      </c>
      <c r="B37" s="6" t="s">
        <v>197</v>
      </c>
    </row>
    <row r="38" spans="1:2">
      <c r="A38" s="5">
        <v>212</v>
      </c>
      <c r="B38" s="6" t="s">
        <v>90</v>
      </c>
    </row>
    <row r="39" spans="1:2" ht="30">
      <c r="A39" s="5">
        <v>215</v>
      </c>
      <c r="B39" s="6" t="s">
        <v>91</v>
      </c>
    </row>
    <row r="40" spans="1:2" ht="30">
      <c r="A40" s="5">
        <v>216</v>
      </c>
      <c r="B40" s="6" t="s">
        <v>92</v>
      </c>
    </row>
    <row r="41" spans="1:2" ht="30">
      <c r="A41" s="5">
        <v>218</v>
      </c>
      <c r="B41" s="6" t="s">
        <v>95</v>
      </c>
    </row>
    <row r="42" spans="1:2">
      <c r="A42" s="5">
        <v>220</v>
      </c>
      <c r="B42" s="6" t="s">
        <v>162</v>
      </c>
    </row>
    <row r="43" spans="1:2">
      <c r="A43" s="5">
        <v>222</v>
      </c>
      <c r="B43" s="6" t="s">
        <v>178</v>
      </c>
    </row>
    <row r="44" spans="1:2" ht="30">
      <c r="A44" s="5">
        <v>223</v>
      </c>
      <c r="B44" s="6" t="s">
        <v>179</v>
      </c>
    </row>
    <row r="45" spans="1:2">
      <c r="A45" s="5">
        <v>224</v>
      </c>
      <c r="B45" s="6" t="s">
        <v>1077</v>
      </c>
    </row>
    <row r="46" spans="1:2">
      <c r="A46" s="5">
        <v>225</v>
      </c>
      <c r="B46" s="6" t="s">
        <v>183</v>
      </c>
    </row>
    <row r="47" spans="1:2">
      <c r="A47" s="5">
        <v>226</v>
      </c>
      <c r="B47" s="6" t="s">
        <v>209</v>
      </c>
    </row>
    <row r="48" spans="1:2">
      <c r="A48" s="5">
        <v>227</v>
      </c>
      <c r="B48" s="6" t="s">
        <v>210</v>
      </c>
    </row>
    <row r="49" spans="1:2">
      <c r="A49" s="5">
        <v>228</v>
      </c>
      <c r="B49" s="6" t="s">
        <v>211</v>
      </c>
    </row>
    <row r="50" spans="1:2">
      <c r="A50" s="5">
        <v>229</v>
      </c>
      <c r="B50" s="6" t="s">
        <v>212</v>
      </c>
    </row>
    <row r="51" spans="1:2">
      <c r="A51" s="5">
        <v>230</v>
      </c>
      <c r="B51" s="6" t="s">
        <v>213</v>
      </c>
    </row>
    <row r="52" spans="1:2">
      <c r="A52" s="5">
        <v>231</v>
      </c>
      <c r="B52" s="6" t="s">
        <v>215</v>
      </c>
    </row>
    <row r="53" spans="1:2">
      <c r="A53" s="5">
        <v>232</v>
      </c>
      <c r="B53" s="6" t="s">
        <v>216</v>
      </c>
    </row>
    <row r="54" spans="1:2">
      <c r="A54" s="5">
        <v>233</v>
      </c>
      <c r="B54" s="6" t="s">
        <v>217</v>
      </c>
    </row>
    <row r="55" spans="1:2">
      <c r="A55" s="5">
        <v>234</v>
      </c>
      <c r="B55" s="6" t="s">
        <v>218</v>
      </c>
    </row>
    <row r="56" spans="1:2">
      <c r="A56" s="5">
        <v>235</v>
      </c>
      <c r="B56" s="6" t="s">
        <v>219</v>
      </c>
    </row>
    <row r="57" spans="1:2">
      <c r="A57" s="5">
        <v>236</v>
      </c>
      <c r="B57" s="6" t="s">
        <v>220</v>
      </c>
    </row>
    <row r="58" spans="1:2">
      <c r="A58" s="5">
        <v>237</v>
      </c>
      <c r="B58" s="6" t="s">
        <v>221</v>
      </c>
    </row>
    <row r="59" spans="1:2">
      <c r="A59" s="5">
        <v>238</v>
      </c>
      <c r="B59" s="6" t="s">
        <v>229</v>
      </c>
    </row>
    <row r="60" spans="1:2">
      <c r="A60" s="5">
        <v>239</v>
      </c>
      <c r="B60" s="6" t="s">
        <v>230</v>
      </c>
    </row>
    <row r="61" spans="1:2">
      <c r="A61" s="5">
        <v>240</v>
      </c>
      <c r="B61" s="6" t="s">
        <v>231</v>
      </c>
    </row>
    <row r="62" spans="1:2" ht="30">
      <c r="A62" s="5">
        <v>244</v>
      </c>
      <c r="B62" s="6" t="s">
        <v>268</v>
      </c>
    </row>
    <row r="63" spans="1:2">
      <c r="A63" s="5">
        <v>245</v>
      </c>
      <c r="B63" s="6" t="s">
        <v>270</v>
      </c>
    </row>
    <row r="64" spans="1:2">
      <c r="A64" s="5">
        <v>246</v>
      </c>
      <c r="B64" s="6" t="s">
        <v>271</v>
      </c>
    </row>
    <row r="65" spans="1:2">
      <c r="A65" s="5">
        <v>247</v>
      </c>
      <c r="B65" s="6" t="s">
        <v>272</v>
      </c>
    </row>
    <row r="66" spans="1:2">
      <c r="A66" s="5">
        <v>248</v>
      </c>
      <c r="B66" s="6" t="s">
        <v>273</v>
      </c>
    </row>
    <row r="67" spans="1:2">
      <c r="A67" s="5">
        <v>250</v>
      </c>
      <c r="B67" s="6" t="s">
        <v>386</v>
      </c>
    </row>
    <row r="68" spans="1:2">
      <c r="A68" s="5">
        <v>251</v>
      </c>
      <c r="B68" s="6" t="s">
        <v>952</v>
      </c>
    </row>
    <row r="69" spans="1:2" ht="30">
      <c r="A69" s="5">
        <v>252</v>
      </c>
      <c r="B69" s="6" t="s">
        <v>489</v>
      </c>
    </row>
    <row r="70" spans="1:2">
      <c r="A70" s="5">
        <v>254</v>
      </c>
      <c r="B70" s="6" t="s">
        <v>499</v>
      </c>
    </row>
    <row r="71" spans="1:2" ht="30">
      <c r="A71" s="5">
        <v>255</v>
      </c>
      <c r="B71" s="6" t="s">
        <v>501</v>
      </c>
    </row>
    <row r="72" spans="1:2" ht="30">
      <c r="A72" s="5">
        <v>256</v>
      </c>
      <c r="B72" s="6" t="s">
        <v>503</v>
      </c>
    </row>
    <row r="73" spans="1:2" ht="30">
      <c r="A73" s="5">
        <v>257</v>
      </c>
      <c r="B73" s="6" t="s">
        <v>504</v>
      </c>
    </row>
    <row r="74" spans="1:2" ht="30">
      <c r="A74" s="5">
        <v>258</v>
      </c>
      <c r="B74" s="6" t="s">
        <v>505</v>
      </c>
    </row>
    <row r="75" spans="1:2">
      <c r="A75" s="5">
        <v>259</v>
      </c>
      <c r="B75" s="6" t="s">
        <v>544</v>
      </c>
    </row>
    <row r="76" spans="1:2">
      <c r="A76" s="5">
        <v>261</v>
      </c>
      <c r="B76" s="6" t="s">
        <v>640</v>
      </c>
    </row>
    <row r="77" spans="1:2">
      <c r="A77" s="5">
        <v>262</v>
      </c>
      <c r="B77" s="6" t="s">
        <v>657</v>
      </c>
    </row>
    <row r="78" spans="1:2">
      <c r="A78" s="5">
        <v>263</v>
      </c>
      <c r="B78" s="6" t="s">
        <v>658</v>
      </c>
    </row>
    <row r="79" spans="1:2">
      <c r="A79" s="5">
        <v>264</v>
      </c>
      <c r="B79" s="6" t="s">
        <v>659</v>
      </c>
    </row>
    <row r="80" spans="1:2">
      <c r="A80" s="5">
        <v>265</v>
      </c>
      <c r="B80" s="6" t="s">
        <v>660</v>
      </c>
    </row>
    <row r="81" spans="1:2">
      <c r="A81" s="5">
        <v>266</v>
      </c>
      <c r="B81" s="6" t="s">
        <v>661</v>
      </c>
    </row>
    <row r="82" spans="1:2">
      <c r="A82" s="5">
        <v>271</v>
      </c>
      <c r="B82" s="6" t="s">
        <v>662</v>
      </c>
    </row>
    <row r="83" spans="1:2">
      <c r="A83" s="5">
        <v>272</v>
      </c>
      <c r="B83" s="6" t="s">
        <v>688</v>
      </c>
    </row>
    <row r="84" spans="1:2">
      <c r="A84" s="5">
        <v>273</v>
      </c>
      <c r="B84" s="6" t="s">
        <v>689</v>
      </c>
    </row>
    <row r="85" spans="1:2">
      <c r="A85" s="5">
        <v>274</v>
      </c>
      <c r="B85" s="6" t="s">
        <v>687</v>
      </c>
    </row>
    <row r="86" spans="1:2">
      <c r="A86" s="5">
        <v>276</v>
      </c>
      <c r="B86" s="6" t="s">
        <v>717</v>
      </c>
    </row>
    <row r="87" spans="1:2">
      <c r="A87" s="5">
        <v>277</v>
      </c>
      <c r="B87" s="6" t="s">
        <v>718</v>
      </c>
    </row>
    <row r="88" spans="1:2">
      <c r="A88" s="5">
        <v>278</v>
      </c>
      <c r="B88" s="6" t="s">
        <v>715</v>
      </c>
    </row>
    <row r="89" spans="1:2">
      <c r="A89" s="5">
        <v>279</v>
      </c>
      <c r="B89" s="6" t="s">
        <v>716</v>
      </c>
    </row>
    <row r="90" spans="1:2">
      <c r="A90" s="5">
        <v>280</v>
      </c>
      <c r="B90" s="6" t="s">
        <v>719</v>
      </c>
    </row>
    <row r="91" spans="1:2">
      <c r="A91" s="5">
        <v>281</v>
      </c>
      <c r="B91" s="6" t="s">
        <v>776</v>
      </c>
    </row>
    <row r="92" spans="1:2">
      <c r="A92" s="5">
        <v>283</v>
      </c>
      <c r="B92" s="6" t="s">
        <v>804</v>
      </c>
    </row>
    <row r="93" spans="1:2">
      <c r="A93" s="5">
        <v>284</v>
      </c>
      <c r="B93" s="6" t="s">
        <v>805</v>
      </c>
    </row>
    <row r="94" spans="1:2">
      <c r="A94" s="5">
        <v>285</v>
      </c>
      <c r="B94" s="6" t="s">
        <v>806</v>
      </c>
    </row>
    <row r="95" spans="1:2">
      <c r="A95" s="5">
        <v>286</v>
      </c>
      <c r="B95" s="6" t="s">
        <v>807</v>
      </c>
    </row>
    <row r="96" spans="1:2">
      <c r="A96" s="5">
        <v>288</v>
      </c>
      <c r="B96" s="6" t="s">
        <v>834</v>
      </c>
    </row>
    <row r="97" spans="1:2">
      <c r="A97" s="5">
        <v>289</v>
      </c>
      <c r="B97" s="6" t="s">
        <v>835</v>
      </c>
    </row>
    <row r="98" spans="1:2" ht="30">
      <c r="A98" s="5">
        <v>291</v>
      </c>
      <c r="B98" s="6" t="s">
        <v>884</v>
      </c>
    </row>
    <row r="99" spans="1:2" ht="30">
      <c r="A99" s="5">
        <v>292</v>
      </c>
      <c r="B99" s="6" t="s">
        <v>887</v>
      </c>
    </row>
    <row r="100" spans="1:2">
      <c r="A100" s="5">
        <v>294</v>
      </c>
      <c r="B100" s="6" t="s">
        <v>890</v>
      </c>
    </row>
    <row r="101" spans="1:2">
      <c r="A101" s="5">
        <v>295</v>
      </c>
      <c r="B101" s="6" t="s">
        <v>911</v>
      </c>
    </row>
    <row r="102" spans="1:2" ht="30">
      <c r="A102" s="5">
        <v>296</v>
      </c>
      <c r="B102" s="6" t="s">
        <v>939</v>
      </c>
    </row>
    <row r="103" spans="1:2">
      <c r="A103" s="5">
        <v>297</v>
      </c>
      <c r="B103" s="6" t="s">
        <v>573</v>
      </c>
    </row>
    <row r="104" spans="1:2" ht="30">
      <c r="A104" s="5">
        <v>299</v>
      </c>
      <c r="B104" s="6" t="s">
        <v>1035</v>
      </c>
    </row>
    <row r="105" spans="1:2">
      <c r="A105" s="5">
        <v>300</v>
      </c>
      <c r="B105" s="6" t="s">
        <v>1036</v>
      </c>
    </row>
    <row r="106" spans="1:2">
      <c r="A106" s="5">
        <v>301</v>
      </c>
      <c r="B106" s="6" t="s">
        <v>1037</v>
      </c>
    </row>
    <row r="107" spans="1:2">
      <c r="A107" s="5">
        <v>302</v>
      </c>
      <c r="B107" s="6" t="s">
        <v>1038</v>
      </c>
    </row>
    <row r="108" spans="1:2">
      <c r="A108" s="5">
        <v>303</v>
      </c>
      <c r="B108" s="6" t="s">
        <v>1039</v>
      </c>
    </row>
    <row r="109" spans="1:2">
      <c r="A109" s="5">
        <v>304</v>
      </c>
      <c r="B109" s="6" t="s">
        <v>1040</v>
      </c>
    </row>
    <row r="110" spans="1:2">
      <c r="A110" s="5">
        <v>305</v>
      </c>
      <c r="B110" s="6" t="s">
        <v>1041</v>
      </c>
    </row>
    <row r="111" spans="1:2">
      <c r="A111" s="5">
        <v>306</v>
      </c>
      <c r="B111" s="6" t="s">
        <v>1045</v>
      </c>
    </row>
    <row r="112" spans="1:2">
      <c r="A112" s="5">
        <v>307</v>
      </c>
      <c r="B112" s="6" t="s">
        <v>1046</v>
      </c>
    </row>
    <row r="113" spans="1:2">
      <c r="A113" s="5">
        <v>308</v>
      </c>
      <c r="B113" s="6" t="s">
        <v>1047</v>
      </c>
    </row>
    <row r="114" spans="1:2">
      <c r="A114" s="5">
        <v>309</v>
      </c>
      <c r="B114" s="6" t="s">
        <v>1048</v>
      </c>
    </row>
    <row r="115" spans="1:2">
      <c r="A115" s="5">
        <v>310</v>
      </c>
      <c r="B115" s="6" t="s">
        <v>1050</v>
      </c>
    </row>
    <row r="116" spans="1:2">
      <c r="A116" s="5">
        <v>311</v>
      </c>
      <c r="B116" s="6" t="s">
        <v>1051</v>
      </c>
    </row>
    <row r="117" spans="1:2">
      <c r="A117" s="5">
        <v>312</v>
      </c>
      <c r="B117" s="6" t="s">
        <v>1052</v>
      </c>
    </row>
    <row r="118" spans="1:2">
      <c r="A118" s="5">
        <v>313</v>
      </c>
      <c r="B118" s="6" t="s">
        <v>1053</v>
      </c>
    </row>
    <row r="119" spans="1:2">
      <c r="A119" s="5">
        <v>314</v>
      </c>
      <c r="B119" s="6" t="s">
        <v>1054</v>
      </c>
    </row>
    <row r="120" spans="1:2">
      <c r="A120" s="5">
        <v>315</v>
      </c>
      <c r="B120" s="6" t="s">
        <v>1057</v>
      </c>
    </row>
    <row r="121" spans="1:2">
      <c r="A121" s="5">
        <v>316</v>
      </c>
      <c r="B121" s="6" t="s">
        <v>1058</v>
      </c>
    </row>
    <row r="122" spans="1:2">
      <c r="A122" s="5">
        <v>317</v>
      </c>
      <c r="B122" s="6" t="s">
        <v>1059</v>
      </c>
    </row>
    <row r="123" spans="1:2">
      <c r="A123" s="5">
        <v>318</v>
      </c>
      <c r="B123" s="6" t="s">
        <v>1060</v>
      </c>
    </row>
    <row r="124" spans="1:2">
      <c r="A124" s="5">
        <v>319</v>
      </c>
      <c r="B124" s="6" t="s">
        <v>1063</v>
      </c>
    </row>
    <row r="125" spans="1:2">
      <c r="A125" s="5">
        <v>320</v>
      </c>
      <c r="B125" s="6" t="s">
        <v>1064</v>
      </c>
    </row>
    <row r="126" spans="1:2">
      <c r="A126" s="5">
        <v>322</v>
      </c>
      <c r="B126" s="6" t="s">
        <v>1066</v>
      </c>
    </row>
    <row r="127" spans="1:2">
      <c r="A127" s="5">
        <v>329</v>
      </c>
      <c r="B127" s="6" t="s">
        <v>1109</v>
      </c>
    </row>
    <row r="128" spans="1:2">
      <c r="A128" s="5">
        <v>330</v>
      </c>
      <c r="B128" s="6" t="s">
        <v>1117</v>
      </c>
    </row>
    <row r="129" spans="1:2">
      <c r="A129" s="5">
        <v>331</v>
      </c>
      <c r="B129" s="6" t="s">
        <v>1118</v>
      </c>
    </row>
    <row r="130" spans="1:2">
      <c r="A130" s="5">
        <v>332</v>
      </c>
      <c r="B130" s="6" t="s">
        <v>1119</v>
      </c>
    </row>
    <row r="131" spans="1:2">
      <c r="A131" s="5">
        <v>333</v>
      </c>
      <c r="B131" s="6" t="s">
        <v>1120</v>
      </c>
    </row>
    <row r="132" spans="1:2">
      <c r="A132" s="5">
        <v>334</v>
      </c>
      <c r="B132" s="6" t="s">
        <v>1121</v>
      </c>
    </row>
    <row r="133" spans="1:2">
      <c r="A133" s="5">
        <v>335</v>
      </c>
      <c r="B133" s="6" t="s">
        <v>1122</v>
      </c>
    </row>
    <row r="134" spans="1:2">
      <c r="A134" s="5">
        <v>336</v>
      </c>
      <c r="B134" s="6" t="s">
        <v>1123</v>
      </c>
    </row>
    <row r="135" spans="1:2">
      <c r="A135" s="5">
        <v>337</v>
      </c>
      <c r="B135" s="6" t="s">
        <v>1124</v>
      </c>
    </row>
    <row r="136" spans="1:2">
      <c r="A136" s="5">
        <v>338</v>
      </c>
      <c r="B136" s="6" t="s">
        <v>1127</v>
      </c>
    </row>
    <row r="137" spans="1:2">
      <c r="A137" s="5">
        <v>339</v>
      </c>
      <c r="B137" s="6" t="s">
        <v>1128</v>
      </c>
    </row>
    <row r="138" spans="1:2">
      <c r="A138" s="5">
        <v>340</v>
      </c>
      <c r="B138" s="6" t="s">
        <v>1129</v>
      </c>
    </row>
    <row r="139" spans="1:2">
      <c r="A139" s="5">
        <v>342</v>
      </c>
      <c r="B139" s="6" t="s">
        <v>1167</v>
      </c>
    </row>
    <row r="140" spans="1:2">
      <c r="A140" s="5">
        <v>344</v>
      </c>
      <c r="B140" s="6" t="s">
        <v>19</v>
      </c>
    </row>
    <row r="141" spans="1:2">
      <c r="A141" s="5">
        <v>345</v>
      </c>
      <c r="B141" s="6" t="s">
        <v>794</v>
      </c>
    </row>
    <row r="142" spans="1:2">
      <c r="A142" s="5">
        <v>346</v>
      </c>
      <c r="B142" s="6" t="s">
        <v>512</v>
      </c>
    </row>
    <row r="143" spans="1:2">
      <c r="A143" s="5">
        <v>347</v>
      </c>
      <c r="B143" s="6" t="s">
        <v>363</v>
      </c>
    </row>
    <row r="144" spans="1:2">
      <c r="A144" s="5">
        <v>348</v>
      </c>
      <c r="B144" s="6" t="s">
        <v>829</v>
      </c>
    </row>
    <row r="145" spans="1:2">
      <c r="A145" s="5">
        <v>349</v>
      </c>
      <c r="B145" s="6" t="s">
        <v>929</v>
      </c>
    </row>
    <row r="146" spans="1:2">
      <c r="A146" s="5">
        <v>350</v>
      </c>
      <c r="B146" s="6" t="s">
        <v>909</v>
      </c>
    </row>
    <row r="147" spans="1:2">
      <c r="A147" s="5">
        <v>351</v>
      </c>
      <c r="B147" s="6" t="s">
        <v>370</v>
      </c>
    </row>
    <row r="148" spans="1:2">
      <c r="A148" s="5">
        <v>352</v>
      </c>
      <c r="B148" s="6" t="s">
        <v>372</v>
      </c>
    </row>
    <row r="149" spans="1:2">
      <c r="A149" s="5">
        <v>353</v>
      </c>
      <c r="B149" s="6" t="s">
        <v>374</v>
      </c>
    </row>
    <row r="150" spans="1:2">
      <c r="A150" s="5">
        <v>357</v>
      </c>
      <c r="B150" s="6" t="s">
        <v>65</v>
      </c>
    </row>
    <row r="151" spans="1:2">
      <c r="A151" s="5">
        <v>358</v>
      </c>
      <c r="B151" s="6" t="s">
        <v>66</v>
      </c>
    </row>
    <row r="152" spans="1:2">
      <c r="A152" s="5">
        <v>359</v>
      </c>
      <c r="B152" s="6" t="s">
        <v>75</v>
      </c>
    </row>
    <row r="153" spans="1:2">
      <c r="A153" s="5">
        <v>361</v>
      </c>
      <c r="B153" s="6" t="s">
        <v>1090</v>
      </c>
    </row>
    <row r="154" spans="1:2">
      <c r="A154" s="5">
        <v>363</v>
      </c>
      <c r="B154" s="6" t="s">
        <v>84</v>
      </c>
    </row>
    <row r="155" spans="1:2">
      <c r="A155" s="5">
        <v>368</v>
      </c>
      <c r="B155" s="6" t="s">
        <v>548</v>
      </c>
    </row>
    <row r="156" spans="1:2">
      <c r="A156" s="5">
        <v>370</v>
      </c>
      <c r="B156" s="6" t="s">
        <v>252</v>
      </c>
    </row>
    <row r="157" spans="1:2" ht="30">
      <c r="A157" s="5">
        <v>374</v>
      </c>
      <c r="B157" s="6" t="s">
        <v>320</v>
      </c>
    </row>
    <row r="158" spans="1:2" ht="30">
      <c r="A158" s="5">
        <v>375</v>
      </c>
      <c r="B158" s="6" t="s">
        <v>321</v>
      </c>
    </row>
    <row r="159" spans="1:2" ht="30">
      <c r="A159" s="5">
        <v>377</v>
      </c>
      <c r="B159" s="6" t="s">
        <v>323</v>
      </c>
    </row>
    <row r="160" spans="1:2" ht="30">
      <c r="A160" s="5">
        <v>378</v>
      </c>
      <c r="B160" s="6" t="s">
        <v>324</v>
      </c>
    </row>
    <row r="161" spans="1:2" ht="30">
      <c r="A161" s="5">
        <v>379</v>
      </c>
      <c r="B161" s="6" t="s">
        <v>325</v>
      </c>
    </row>
    <row r="162" spans="1:2">
      <c r="A162" s="5">
        <v>380</v>
      </c>
      <c r="B162" s="6" t="s">
        <v>326</v>
      </c>
    </row>
    <row r="163" spans="1:2">
      <c r="A163" s="5">
        <v>381</v>
      </c>
      <c r="B163" s="6" t="s">
        <v>327</v>
      </c>
    </row>
    <row r="164" spans="1:2" ht="30">
      <c r="A164" s="5">
        <v>382</v>
      </c>
      <c r="B164" s="6" t="s">
        <v>333</v>
      </c>
    </row>
    <row r="165" spans="1:2" ht="30">
      <c r="A165" s="5">
        <v>383</v>
      </c>
      <c r="B165" s="6" t="s">
        <v>334</v>
      </c>
    </row>
    <row r="166" spans="1:2">
      <c r="A166" s="5">
        <v>384</v>
      </c>
      <c r="B166" s="6" t="s">
        <v>341</v>
      </c>
    </row>
    <row r="167" spans="1:2">
      <c r="A167" s="5">
        <v>393</v>
      </c>
      <c r="B167" s="6" t="s">
        <v>681</v>
      </c>
    </row>
    <row r="168" spans="1:2">
      <c r="A168" s="5">
        <v>394</v>
      </c>
      <c r="B168" s="6" t="s">
        <v>487</v>
      </c>
    </row>
    <row r="169" spans="1:2">
      <c r="A169" s="5">
        <v>398</v>
      </c>
      <c r="B169" s="6" t="s">
        <v>509</v>
      </c>
    </row>
    <row r="170" spans="1:2">
      <c r="A170" s="5">
        <v>401</v>
      </c>
      <c r="B170" s="6" t="s">
        <v>532</v>
      </c>
    </row>
    <row r="171" spans="1:2">
      <c r="A171" s="5">
        <v>405</v>
      </c>
      <c r="B171" s="6" t="s">
        <v>582</v>
      </c>
    </row>
    <row r="172" spans="1:2">
      <c r="A172" s="5">
        <v>410</v>
      </c>
      <c r="B172" s="6" t="s">
        <v>656</v>
      </c>
    </row>
    <row r="173" spans="1:2">
      <c r="A173" s="5">
        <v>417</v>
      </c>
      <c r="B173" s="6" t="s">
        <v>663</v>
      </c>
    </row>
    <row r="174" spans="1:2">
      <c r="A174" s="5">
        <v>418</v>
      </c>
      <c r="B174" s="6" t="s">
        <v>664</v>
      </c>
    </row>
    <row r="175" spans="1:2">
      <c r="A175" s="5">
        <v>419</v>
      </c>
      <c r="B175" s="6" t="s">
        <v>665</v>
      </c>
    </row>
    <row r="176" spans="1:2">
      <c r="A176" s="5">
        <v>423</v>
      </c>
      <c r="B176" s="6" t="s">
        <v>673</v>
      </c>
    </row>
    <row r="177" spans="1:2">
      <c r="A177" s="5">
        <v>424</v>
      </c>
      <c r="B177" s="6" t="s">
        <v>1079</v>
      </c>
    </row>
    <row r="178" spans="1:2">
      <c r="A178" s="5">
        <v>426</v>
      </c>
      <c r="B178" s="6" t="s">
        <v>683</v>
      </c>
    </row>
    <row r="179" spans="1:2">
      <c r="A179" s="5">
        <v>427</v>
      </c>
      <c r="B179" s="6" t="s">
        <v>684</v>
      </c>
    </row>
    <row r="180" spans="1:2">
      <c r="A180" s="5">
        <v>430</v>
      </c>
      <c r="B180" s="6" t="s">
        <v>685</v>
      </c>
    </row>
    <row r="181" spans="1:2">
      <c r="A181" s="5">
        <v>431</v>
      </c>
      <c r="B181" s="6" t="s">
        <v>690</v>
      </c>
    </row>
    <row r="182" spans="1:2">
      <c r="A182" s="5">
        <v>434</v>
      </c>
      <c r="B182" s="6" t="s">
        <v>693</v>
      </c>
    </row>
    <row r="183" spans="1:2">
      <c r="A183" s="5">
        <v>435</v>
      </c>
      <c r="B183" s="6" t="s">
        <v>694</v>
      </c>
    </row>
    <row r="184" spans="1:2">
      <c r="A184" s="5">
        <v>441</v>
      </c>
      <c r="B184" s="6" t="s">
        <v>703</v>
      </c>
    </row>
    <row r="185" spans="1:2">
      <c r="A185" s="5">
        <v>442</v>
      </c>
      <c r="B185" s="6" t="s">
        <v>704</v>
      </c>
    </row>
    <row r="186" spans="1:2">
      <c r="A186" s="5">
        <v>448</v>
      </c>
      <c r="B186" s="6" t="s">
        <v>775</v>
      </c>
    </row>
    <row r="187" spans="1:2">
      <c r="A187" s="5">
        <v>449</v>
      </c>
      <c r="B187" s="6" t="s">
        <v>786</v>
      </c>
    </row>
    <row r="188" spans="1:2">
      <c r="A188" s="5">
        <v>450</v>
      </c>
      <c r="B188" s="6" t="s">
        <v>787</v>
      </c>
    </row>
    <row r="189" spans="1:2">
      <c r="A189" s="5">
        <v>451</v>
      </c>
      <c r="B189" s="6" t="s">
        <v>788</v>
      </c>
    </row>
    <row r="190" spans="1:2">
      <c r="A190" s="5">
        <v>452</v>
      </c>
      <c r="B190" s="6" t="s">
        <v>789</v>
      </c>
    </row>
    <row r="191" spans="1:2">
      <c r="A191" s="5">
        <v>454</v>
      </c>
      <c r="B191" s="6" t="s">
        <v>791</v>
      </c>
    </row>
    <row r="192" spans="1:2">
      <c r="A192" s="5">
        <v>455</v>
      </c>
      <c r="B192" s="6" t="s">
        <v>793</v>
      </c>
    </row>
    <row r="193" spans="1:2">
      <c r="A193" s="5">
        <v>456</v>
      </c>
      <c r="B193" s="6" t="s">
        <v>800</v>
      </c>
    </row>
    <row r="194" spans="1:2">
      <c r="A194" s="5">
        <v>457</v>
      </c>
      <c r="B194" s="6" t="s">
        <v>813</v>
      </c>
    </row>
    <row r="195" spans="1:2">
      <c r="A195" s="5">
        <v>458</v>
      </c>
      <c r="B195" s="6" t="s">
        <v>857</v>
      </c>
    </row>
    <row r="196" spans="1:2">
      <c r="A196" s="5">
        <v>461</v>
      </c>
      <c r="B196" s="6" t="s">
        <v>896</v>
      </c>
    </row>
    <row r="197" spans="1:2">
      <c r="A197" s="5">
        <v>462</v>
      </c>
      <c r="B197" s="6" t="s">
        <v>906</v>
      </c>
    </row>
    <row r="198" spans="1:2">
      <c r="A198" s="5">
        <v>463</v>
      </c>
      <c r="B198" s="6" t="s">
        <v>907</v>
      </c>
    </row>
    <row r="199" spans="1:2">
      <c r="A199" s="5">
        <v>464</v>
      </c>
      <c r="B199" s="6" t="s">
        <v>381</v>
      </c>
    </row>
    <row r="200" spans="1:2">
      <c r="A200" s="5">
        <v>465</v>
      </c>
      <c r="B200" s="6" t="s">
        <v>382</v>
      </c>
    </row>
    <row r="201" spans="1:2">
      <c r="A201" s="5">
        <v>467</v>
      </c>
      <c r="B201" s="6" t="s">
        <v>914</v>
      </c>
    </row>
    <row r="202" spans="1:2">
      <c r="A202" s="5">
        <v>468</v>
      </c>
      <c r="B202" s="6" t="s">
        <v>915</v>
      </c>
    </row>
    <row r="203" spans="1:2">
      <c r="A203" s="5">
        <v>469</v>
      </c>
      <c r="B203" s="6" t="s">
        <v>930</v>
      </c>
    </row>
    <row r="204" spans="1:2">
      <c r="A204" s="5">
        <v>472</v>
      </c>
      <c r="B204" s="6" t="s">
        <v>987</v>
      </c>
    </row>
    <row r="205" spans="1:2">
      <c r="A205" s="5">
        <v>477</v>
      </c>
      <c r="B205" s="6" t="s">
        <v>1015</v>
      </c>
    </row>
    <row r="206" spans="1:2">
      <c r="A206" s="5">
        <v>480</v>
      </c>
      <c r="B206" s="6" t="s">
        <v>1163</v>
      </c>
    </row>
    <row r="207" spans="1:2">
      <c r="A207" s="5">
        <v>482</v>
      </c>
      <c r="B207" s="6" t="s">
        <v>1173</v>
      </c>
    </row>
    <row r="208" spans="1:2">
      <c r="A208" s="5">
        <v>483</v>
      </c>
      <c r="B208" s="6" t="s">
        <v>648</v>
      </c>
    </row>
    <row r="209" spans="1:2">
      <c r="A209" s="5">
        <v>484</v>
      </c>
      <c r="B209" s="6" t="s">
        <v>260</v>
      </c>
    </row>
    <row r="210" spans="1:2">
      <c r="A210" s="5">
        <v>488</v>
      </c>
      <c r="B210" s="6" t="s">
        <v>312</v>
      </c>
    </row>
    <row r="211" spans="1:2">
      <c r="A211" s="5">
        <v>489</v>
      </c>
      <c r="B211" s="6" t="s">
        <v>165</v>
      </c>
    </row>
    <row r="212" spans="1:2">
      <c r="A212" s="5">
        <v>491</v>
      </c>
      <c r="B212" s="6" t="s">
        <v>1013</v>
      </c>
    </row>
    <row r="213" spans="1:2">
      <c r="A213" s="5">
        <v>492</v>
      </c>
      <c r="B213" s="6" t="s">
        <v>647</v>
      </c>
    </row>
    <row r="214" spans="1:2">
      <c r="A214" s="5">
        <v>494</v>
      </c>
      <c r="B214" s="6" t="s">
        <v>985</v>
      </c>
    </row>
    <row r="215" spans="1:2">
      <c r="A215" s="5">
        <v>496</v>
      </c>
      <c r="B215" s="6" t="s">
        <v>164</v>
      </c>
    </row>
    <row r="216" spans="1:2">
      <c r="A216" s="5">
        <v>497</v>
      </c>
      <c r="B216" s="6" t="s">
        <v>740</v>
      </c>
    </row>
    <row r="217" spans="1:2">
      <c r="A217" s="5">
        <v>498</v>
      </c>
      <c r="B217" s="6" t="s">
        <v>744</v>
      </c>
    </row>
    <row r="218" spans="1:2" ht="30">
      <c r="A218" s="5">
        <v>518</v>
      </c>
      <c r="B218" s="6" t="s">
        <v>335</v>
      </c>
    </row>
    <row r="219" spans="1:2" ht="30">
      <c r="A219" s="5">
        <v>520</v>
      </c>
      <c r="B219" s="6" t="s">
        <v>338</v>
      </c>
    </row>
    <row r="220" spans="1:2" ht="30">
      <c r="A220" s="5">
        <v>528</v>
      </c>
      <c r="B220" s="6" t="s">
        <v>339</v>
      </c>
    </row>
    <row r="221" spans="1:2" ht="30">
      <c r="A221" s="5">
        <v>529</v>
      </c>
      <c r="B221" s="6" t="s">
        <v>340</v>
      </c>
    </row>
    <row r="222" spans="1:2">
      <c r="A222" s="5">
        <v>533</v>
      </c>
      <c r="B222" s="6" t="s">
        <v>1179</v>
      </c>
    </row>
    <row r="223" spans="1:2">
      <c r="A223" s="5">
        <v>535</v>
      </c>
      <c r="B223" s="6" t="s">
        <v>177</v>
      </c>
    </row>
    <row r="224" spans="1:2">
      <c r="A224" s="5">
        <v>536</v>
      </c>
      <c r="B224" s="6" t="s">
        <v>990</v>
      </c>
    </row>
    <row r="225" spans="1:2">
      <c r="A225" s="5">
        <v>537</v>
      </c>
      <c r="B225" s="6" t="s">
        <v>62</v>
      </c>
    </row>
    <row r="226" spans="1:2">
      <c r="A226" s="5">
        <v>539</v>
      </c>
      <c r="B226" s="6" t="s">
        <v>918</v>
      </c>
    </row>
    <row r="227" spans="1:2">
      <c r="A227" s="5">
        <v>541</v>
      </c>
      <c r="B227" s="6" t="s">
        <v>1029</v>
      </c>
    </row>
    <row r="228" spans="1:2">
      <c r="A228" s="5">
        <v>542</v>
      </c>
      <c r="B228" s="6" t="s">
        <v>1027</v>
      </c>
    </row>
    <row r="229" spans="1:2">
      <c r="A229" s="5">
        <v>543</v>
      </c>
      <c r="B229" s="6" t="s">
        <v>1030</v>
      </c>
    </row>
    <row r="230" spans="1:2">
      <c r="A230" s="5">
        <v>544</v>
      </c>
      <c r="B230" s="6" t="s">
        <v>1031</v>
      </c>
    </row>
    <row r="231" spans="1:2">
      <c r="A231" s="5">
        <v>545</v>
      </c>
      <c r="B231" s="6" t="s">
        <v>1028</v>
      </c>
    </row>
    <row r="232" spans="1:2">
      <c r="A232" s="5">
        <v>553</v>
      </c>
      <c r="B232" s="6" t="s">
        <v>847</v>
      </c>
    </row>
    <row r="233" spans="1:2">
      <c r="A233" s="5">
        <v>557</v>
      </c>
      <c r="B233" s="6" t="s">
        <v>1073</v>
      </c>
    </row>
    <row r="234" spans="1:2">
      <c r="A234" s="5">
        <v>558</v>
      </c>
      <c r="B234" s="6" t="s">
        <v>1085</v>
      </c>
    </row>
    <row r="235" spans="1:2">
      <c r="A235" s="5">
        <v>559</v>
      </c>
      <c r="B235" s="6" t="s">
        <v>365</v>
      </c>
    </row>
    <row r="236" spans="1:2">
      <c r="A236" s="5">
        <v>562</v>
      </c>
      <c r="B236" s="6" t="s">
        <v>366</v>
      </c>
    </row>
    <row r="237" spans="1:2">
      <c r="A237" s="5">
        <v>574</v>
      </c>
      <c r="B237" s="6" t="s">
        <v>1178</v>
      </c>
    </row>
    <row r="238" spans="1:2">
      <c r="A238" s="5">
        <v>581</v>
      </c>
      <c r="B238" s="6" t="s">
        <v>951</v>
      </c>
    </row>
    <row r="239" spans="1:2">
      <c r="A239" s="5">
        <v>591</v>
      </c>
      <c r="B239" s="6" t="s">
        <v>1180</v>
      </c>
    </row>
    <row r="240" spans="1:2">
      <c r="A240" s="5">
        <v>598</v>
      </c>
      <c r="B240" s="6" t="s">
        <v>1181</v>
      </c>
    </row>
    <row r="241" spans="1:2">
      <c r="A241" s="5">
        <v>599</v>
      </c>
      <c r="B241" s="6" t="s">
        <v>991</v>
      </c>
    </row>
    <row r="242" spans="1:2">
      <c r="A242" s="5">
        <v>600</v>
      </c>
      <c r="B242" s="6" t="s">
        <v>34</v>
      </c>
    </row>
    <row r="243" spans="1:2">
      <c r="A243" s="5">
        <v>606</v>
      </c>
      <c r="B243" s="6" t="s">
        <v>1174</v>
      </c>
    </row>
    <row r="244" spans="1:2">
      <c r="A244" s="5">
        <v>607</v>
      </c>
      <c r="B244" s="6" t="s">
        <v>1176</v>
      </c>
    </row>
    <row r="245" spans="1:2">
      <c r="A245" s="5">
        <v>608</v>
      </c>
      <c r="B245" s="6" t="s">
        <v>848</v>
      </c>
    </row>
    <row r="246" spans="1:2">
      <c r="A246" s="5">
        <v>624</v>
      </c>
      <c r="B246" s="6" t="s">
        <v>248</v>
      </c>
    </row>
    <row r="247" spans="1:2">
      <c r="A247" s="5">
        <v>626</v>
      </c>
      <c r="B247" s="6" t="s">
        <v>398</v>
      </c>
    </row>
    <row r="248" spans="1:2">
      <c r="A248" s="5">
        <v>627</v>
      </c>
      <c r="B248" s="6" t="s">
        <v>397</v>
      </c>
    </row>
    <row r="249" spans="1:2">
      <c r="A249" s="5">
        <v>628</v>
      </c>
      <c r="B249" s="6" t="s">
        <v>455</v>
      </c>
    </row>
    <row r="250" spans="1:2">
      <c r="A250" s="5">
        <v>630</v>
      </c>
      <c r="B250" s="6" t="s">
        <v>405</v>
      </c>
    </row>
    <row r="251" spans="1:2">
      <c r="A251" s="5">
        <v>631</v>
      </c>
      <c r="B251" s="6" t="s">
        <v>416</v>
      </c>
    </row>
    <row r="252" spans="1:2">
      <c r="A252" s="5">
        <v>632</v>
      </c>
      <c r="B252" s="6" t="s">
        <v>403</v>
      </c>
    </row>
    <row r="253" spans="1:2">
      <c r="A253" s="5">
        <v>633</v>
      </c>
      <c r="B253" s="6" t="s">
        <v>449</v>
      </c>
    </row>
    <row r="254" spans="1:2">
      <c r="A254" s="5">
        <v>634</v>
      </c>
      <c r="B254" s="6" t="s">
        <v>404</v>
      </c>
    </row>
    <row r="255" spans="1:2">
      <c r="A255" s="5">
        <v>635</v>
      </c>
      <c r="B255" s="6" t="s">
        <v>406</v>
      </c>
    </row>
    <row r="256" spans="1:2">
      <c r="A256" s="5">
        <v>636</v>
      </c>
      <c r="B256" s="6" t="s">
        <v>407</v>
      </c>
    </row>
    <row r="257" spans="1:2">
      <c r="A257" s="5">
        <v>638</v>
      </c>
      <c r="B257" s="6" t="s">
        <v>434</v>
      </c>
    </row>
    <row r="258" spans="1:2">
      <c r="A258" s="5">
        <v>639</v>
      </c>
      <c r="B258" s="6" t="s">
        <v>435</v>
      </c>
    </row>
    <row r="259" spans="1:2">
      <c r="A259" s="5">
        <v>640</v>
      </c>
      <c r="B259" s="6" t="s">
        <v>433</v>
      </c>
    </row>
    <row r="260" spans="1:2">
      <c r="A260" s="5">
        <v>641</v>
      </c>
      <c r="B260" s="6" t="s">
        <v>412</v>
      </c>
    </row>
    <row r="261" spans="1:2">
      <c r="A261" s="5">
        <v>642</v>
      </c>
      <c r="B261" s="6" t="s">
        <v>413</v>
      </c>
    </row>
    <row r="262" spans="1:2">
      <c r="A262" s="5">
        <v>643</v>
      </c>
      <c r="B262" s="6" t="s">
        <v>414</v>
      </c>
    </row>
    <row r="263" spans="1:2">
      <c r="A263" s="5">
        <v>644</v>
      </c>
      <c r="B263" s="6" t="s">
        <v>421</v>
      </c>
    </row>
    <row r="264" spans="1:2">
      <c r="A264" s="5">
        <v>645</v>
      </c>
      <c r="B264" s="6" t="s">
        <v>418</v>
      </c>
    </row>
    <row r="265" spans="1:2">
      <c r="A265" s="5">
        <v>646</v>
      </c>
      <c r="B265" s="6" t="s">
        <v>427</v>
      </c>
    </row>
    <row r="266" spans="1:2">
      <c r="A266" s="5">
        <v>647</v>
      </c>
      <c r="B266" s="6" t="s">
        <v>426</v>
      </c>
    </row>
    <row r="267" spans="1:2">
      <c r="A267" s="5">
        <v>648</v>
      </c>
      <c r="B267" s="6" t="s">
        <v>453</v>
      </c>
    </row>
    <row r="268" spans="1:2">
      <c r="A268" s="5">
        <v>649</v>
      </c>
      <c r="B268" s="6" t="s">
        <v>460</v>
      </c>
    </row>
    <row r="269" spans="1:2">
      <c r="A269" s="5">
        <v>651</v>
      </c>
      <c r="B269" s="6" t="s">
        <v>431</v>
      </c>
    </row>
    <row r="270" spans="1:2">
      <c r="A270" s="5">
        <v>652</v>
      </c>
      <c r="B270" s="6" t="s">
        <v>428</v>
      </c>
    </row>
    <row r="271" spans="1:2">
      <c r="A271" s="5">
        <v>653</v>
      </c>
      <c r="B271" s="6" t="s">
        <v>429</v>
      </c>
    </row>
    <row r="272" spans="1:2">
      <c r="A272" s="5">
        <v>654</v>
      </c>
      <c r="B272" s="6" t="s">
        <v>432</v>
      </c>
    </row>
    <row r="273" spans="1:2">
      <c r="A273" s="5">
        <v>655</v>
      </c>
      <c r="B273" s="6" t="s">
        <v>436</v>
      </c>
    </row>
    <row r="274" spans="1:2">
      <c r="A274" s="5">
        <v>656</v>
      </c>
      <c r="B274" s="6" t="s">
        <v>452</v>
      </c>
    </row>
    <row r="275" spans="1:2">
      <c r="A275" s="5">
        <v>657</v>
      </c>
      <c r="B275" s="6" t="s">
        <v>457</v>
      </c>
    </row>
    <row r="276" spans="1:2">
      <c r="A276" s="5">
        <v>658</v>
      </c>
      <c r="B276" s="6" t="s">
        <v>451</v>
      </c>
    </row>
    <row r="277" spans="1:2">
      <c r="A277" s="5">
        <v>659</v>
      </c>
      <c r="B277" s="6" t="s">
        <v>450</v>
      </c>
    </row>
    <row r="278" spans="1:2">
      <c r="A278" s="5">
        <v>660</v>
      </c>
      <c r="B278" s="6" t="s">
        <v>465</v>
      </c>
    </row>
    <row r="279" spans="1:2">
      <c r="A279" s="5">
        <v>661</v>
      </c>
      <c r="B279" s="6" t="s">
        <v>454</v>
      </c>
    </row>
    <row r="280" spans="1:2">
      <c r="A280" s="5">
        <v>662</v>
      </c>
      <c r="B280" s="6" t="s">
        <v>466</v>
      </c>
    </row>
    <row r="281" spans="1:2">
      <c r="A281" s="5">
        <v>663</v>
      </c>
      <c r="B281" s="6" t="s">
        <v>468</v>
      </c>
    </row>
    <row r="282" spans="1:2">
      <c r="A282" s="5">
        <v>664</v>
      </c>
      <c r="B282" s="6" t="s">
        <v>444</v>
      </c>
    </row>
    <row r="283" spans="1:2">
      <c r="A283" s="5">
        <v>665</v>
      </c>
      <c r="B283" s="6" t="s">
        <v>470</v>
      </c>
    </row>
    <row r="284" spans="1:2">
      <c r="A284" s="5">
        <v>666</v>
      </c>
      <c r="B284" s="6" t="s">
        <v>469</v>
      </c>
    </row>
    <row r="285" spans="1:2">
      <c r="A285" s="5">
        <v>667</v>
      </c>
      <c r="B285" s="6" t="s">
        <v>471</v>
      </c>
    </row>
    <row r="286" spans="1:2">
      <c r="A286" s="5">
        <v>668</v>
      </c>
      <c r="B286" s="6" t="s">
        <v>456</v>
      </c>
    </row>
    <row r="287" spans="1:2">
      <c r="A287" s="5">
        <v>669</v>
      </c>
      <c r="B287" s="6" t="s">
        <v>464</v>
      </c>
    </row>
    <row r="288" spans="1:2">
      <c r="A288" s="5">
        <v>670</v>
      </c>
      <c r="B288" s="6" t="s">
        <v>472</v>
      </c>
    </row>
    <row r="289" spans="1:2">
      <c r="A289" s="5">
        <v>671</v>
      </c>
      <c r="B289" s="6" t="s">
        <v>443</v>
      </c>
    </row>
    <row r="290" spans="1:2">
      <c r="A290" s="5">
        <v>672</v>
      </c>
      <c r="B290" s="6" t="s">
        <v>467</v>
      </c>
    </row>
    <row r="291" spans="1:2">
      <c r="A291" s="5">
        <v>673</v>
      </c>
      <c r="B291" s="6" t="s">
        <v>447</v>
      </c>
    </row>
    <row r="292" spans="1:2">
      <c r="A292" s="5">
        <v>674</v>
      </c>
      <c r="B292" s="6" t="s">
        <v>446</v>
      </c>
    </row>
    <row r="293" spans="1:2">
      <c r="A293" s="5">
        <v>677</v>
      </c>
      <c r="B293" s="6" t="s">
        <v>594</v>
      </c>
    </row>
    <row r="294" spans="1:2">
      <c r="A294" s="5">
        <v>678</v>
      </c>
      <c r="B294" s="6" t="s">
        <v>596</v>
      </c>
    </row>
    <row r="295" spans="1:2">
      <c r="A295" s="5">
        <v>679</v>
      </c>
      <c r="B295" s="6" t="s">
        <v>597</v>
      </c>
    </row>
    <row r="296" spans="1:2">
      <c r="A296" s="5">
        <v>682</v>
      </c>
      <c r="B296" s="6" t="s">
        <v>611</v>
      </c>
    </row>
    <row r="297" spans="1:2">
      <c r="A297" s="5">
        <v>683</v>
      </c>
      <c r="B297" s="6" t="s">
        <v>625</v>
      </c>
    </row>
    <row r="298" spans="1:2">
      <c r="A298" s="5">
        <v>687</v>
      </c>
      <c r="B298" s="6" t="s">
        <v>617</v>
      </c>
    </row>
    <row r="299" spans="1:2">
      <c r="A299" s="5">
        <v>688</v>
      </c>
      <c r="B299" s="6" t="s">
        <v>618</v>
      </c>
    </row>
    <row r="300" spans="1:2">
      <c r="A300" s="5">
        <v>689</v>
      </c>
      <c r="B300" s="6" t="s">
        <v>595</v>
      </c>
    </row>
    <row r="301" spans="1:2">
      <c r="A301" s="5">
        <v>690</v>
      </c>
      <c r="B301" s="6" t="s">
        <v>607</v>
      </c>
    </row>
    <row r="302" spans="1:2">
      <c r="A302" s="5">
        <v>691</v>
      </c>
      <c r="B302" s="6" t="s">
        <v>608</v>
      </c>
    </row>
    <row r="303" spans="1:2">
      <c r="A303" s="5">
        <v>692</v>
      </c>
      <c r="B303" s="6" t="s">
        <v>619</v>
      </c>
    </row>
    <row r="304" spans="1:2">
      <c r="A304" s="5">
        <v>693</v>
      </c>
      <c r="B304" s="6" t="s">
        <v>620</v>
      </c>
    </row>
    <row r="305" spans="1:2" ht="30">
      <c r="A305" s="5">
        <v>694</v>
      </c>
      <c r="B305" s="6" t="s">
        <v>621</v>
      </c>
    </row>
    <row r="306" spans="1:2" ht="30">
      <c r="A306" s="5">
        <v>695</v>
      </c>
      <c r="B306" s="6" t="s">
        <v>622</v>
      </c>
    </row>
    <row r="307" spans="1:2" ht="30">
      <c r="A307" s="5">
        <v>696</v>
      </c>
      <c r="B307" s="6" t="s">
        <v>623</v>
      </c>
    </row>
    <row r="308" spans="1:2" ht="30">
      <c r="A308" s="5">
        <v>697</v>
      </c>
      <c r="B308" s="6" t="s">
        <v>624</v>
      </c>
    </row>
    <row r="309" spans="1:2">
      <c r="A309" s="5">
        <v>698</v>
      </c>
      <c r="B309" s="6" t="s">
        <v>725</v>
      </c>
    </row>
    <row r="310" spans="1:2">
      <c r="A310" s="5">
        <v>699</v>
      </c>
      <c r="B310" s="6" t="s">
        <v>35</v>
      </c>
    </row>
    <row r="311" spans="1:2">
      <c r="A311" s="5">
        <v>711</v>
      </c>
      <c r="B311" s="6" t="s">
        <v>983</v>
      </c>
    </row>
    <row r="312" spans="1:2">
      <c r="A312" s="5">
        <v>715</v>
      </c>
      <c r="B312" s="6" t="s">
        <v>25</v>
      </c>
    </row>
    <row r="313" spans="1:2" ht="30">
      <c r="A313" s="5">
        <v>718</v>
      </c>
      <c r="B313" s="6" t="s">
        <v>812</v>
      </c>
    </row>
    <row r="314" spans="1:2">
      <c r="A314" s="5">
        <v>719</v>
      </c>
      <c r="B314" s="6" t="s">
        <v>174</v>
      </c>
    </row>
    <row r="315" spans="1:2">
      <c r="A315" s="5">
        <v>720</v>
      </c>
      <c r="B315" s="6" t="s">
        <v>172</v>
      </c>
    </row>
    <row r="316" spans="1:2">
      <c r="A316" s="5">
        <v>721</v>
      </c>
      <c r="B316" s="6" t="s">
        <v>175</v>
      </c>
    </row>
    <row r="317" spans="1:2">
      <c r="A317" s="5">
        <v>722</v>
      </c>
      <c r="B317" s="6" t="s">
        <v>182</v>
      </c>
    </row>
    <row r="318" spans="1:2" ht="30">
      <c r="A318" s="5">
        <v>723</v>
      </c>
      <c r="B318" s="6" t="s">
        <v>322</v>
      </c>
    </row>
    <row r="319" spans="1:2">
      <c r="A319" s="5">
        <v>724</v>
      </c>
      <c r="B319" s="6" t="s">
        <v>364</v>
      </c>
    </row>
    <row r="320" spans="1:2">
      <c r="A320" s="5">
        <v>725</v>
      </c>
      <c r="B320" s="6" t="s">
        <v>302</v>
      </c>
    </row>
    <row r="321" spans="1:2">
      <c r="A321" s="5">
        <v>729</v>
      </c>
      <c r="B321" s="6" t="s">
        <v>475</v>
      </c>
    </row>
    <row r="322" spans="1:2">
      <c r="A322" s="5">
        <v>730</v>
      </c>
      <c r="B322" s="6" t="s">
        <v>476</v>
      </c>
    </row>
    <row r="323" spans="1:2">
      <c r="A323" s="5">
        <v>731</v>
      </c>
      <c r="B323" s="6" t="s">
        <v>477</v>
      </c>
    </row>
    <row r="324" spans="1:2">
      <c r="A324" s="5">
        <v>732</v>
      </c>
      <c r="B324" s="6" t="s">
        <v>479</v>
      </c>
    </row>
    <row r="325" spans="1:2">
      <c r="A325" s="5">
        <v>733</v>
      </c>
      <c r="B325" s="6" t="s">
        <v>480</v>
      </c>
    </row>
    <row r="326" spans="1:2">
      <c r="A326" s="5">
        <v>734</v>
      </c>
      <c r="B326" s="6" t="s">
        <v>481</v>
      </c>
    </row>
    <row r="327" spans="1:2">
      <c r="A327" s="5">
        <v>735</v>
      </c>
      <c r="B327" s="6" t="s">
        <v>478</v>
      </c>
    </row>
    <row r="328" spans="1:2">
      <c r="A328" s="5">
        <v>736</v>
      </c>
      <c r="B328" s="6" t="s">
        <v>507</v>
      </c>
    </row>
    <row r="329" spans="1:2">
      <c r="A329" s="5">
        <v>737</v>
      </c>
      <c r="B329" s="6" t="s">
        <v>508</v>
      </c>
    </row>
    <row r="330" spans="1:2">
      <c r="A330" s="5">
        <v>738</v>
      </c>
      <c r="B330" s="6" t="s">
        <v>510</v>
      </c>
    </row>
    <row r="331" spans="1:2">
      <c r="A331" s="5">
        <v>739</v>
      </c>
      <c r="B331" s="6" t="s">
        <v>527</v>
      </c>
    </row>
    <row r="332" spans="1:2">
      <c r="A332" s="5">
        <v>740</v>
      </c>
      <c r="B332" s="6" t="s">
        <v>528</v>
      </c>
    </row>
    <row r="333" spans="1:2">
      <c r="A333" s="5">
        <v>741</v>
      </c>
      <c r="B333" s="6" t="s">
        <v>533</v>
      </c>
    </row>
    <row r="334" spans="1:2">
      <c r="A334" s="5">
        <v>742</v>
      </c>
      <c r="B334" s="6" t="s">
        <v>641</v>
      </c>
    </row>
    <row r="335" spans="1:2">
      <c r="A335" s="5">
        <v>746</v>
      </c>
      <c r="B335" s="6" t="s">
        <v>666</v>
      </c>
    </row>
    <row r="336" spans="1:2">
      <c r="A336" s="5">
        <v>748</v>
      </c>
      <c r="B336" s="6" t="s">
        <v>680</v>
      </c>
    </row>
    <row r="337" spans="1:2">
      <c r="A337" s="5">
        <v>749</v>
      </c>
      <c r="B337" s="6" t="s">
        <v>682</v>
      </c>
    </row>
    <row r="338" spans="1:2">
      <c r="A338" s="5">
        <v>751</v>
      </c>
      <c r="B338" s="6" t="s">
        <v>691</v>
      </c>
    </row>
    <row r="339" spans="1:2">
      <c r="A339" s="5">
        <v>752</v>
      </c>
      <c r="B339" s="6" t="s">
        <v>705</v>
      </c>
    </row>
    <row r="340" spans="1:2">
      <c r="A340" s="5">
        <v>753</v>
      </c>
      <c r="B340" s="6" t="s">
        <v>702</v>
      </c>
    </row>
    <row r="341" spans="1:2">
      <c r="A341" s="5">
        <v>754</v>
      </c>
      <c r="B341" s="6" t="s">
        <v>706</v>
      </c>
    </row>
    <row r="342" spans="1:2">
      <c r="A342" s="5">
        <v>755</v>
      </c>
      <c r="B342" s="6" t="s">
        <v>739</v>
      </c>
    </row>
    <row r="343" spans="1:2">
      <c r="A343" s="5">
        <v>756</v>
      </c>
      <c r="B343" s="6" t="s">
        <v>878</v>
      </c>
    </row>
    <row r="344" spans="1:2">
      <c r="A344" s="5">
        <v>757</v>
      </c>
      <c r="B344" s="6" t="s">
        <v>880</v>
      </c>
    </row>
    <row r="345" spans="1:2">
      <c r="A345" s="5">
        <v>758</v>
      </c>
      <c r="B345" s="6" t="s">
        <v>913</v>
      </c>
    </row>
    <row r="346" spans="1:2">
      <c r="A346" s="5">
        <v>759</v>
      </c>
      <c r="B346" s="6" t="s">
        <v>931</v>
      </c>
    </row>
    <row r="347" spans="1:2">
      <c r="A347" s="5">
        <v>760</v>
      </c>
      <c r="B347" s="6" t="s">
        <v>984</v>
      </c>
    </row>
    <row r="348" spans="1:2">
      <c r="A348" s="5">
        <v>761</v>
      </c>
      <c r="B348" s="6" t="s">
        <v>1065</v>
      </c>
    </row>
    <row r="349" spans="1:2" ht="30">
      <c r="A349" s="5">
        <v>762</v>
      </c>
      <c r="B349" s="6" t="s">
        <v>1067</v>
      </c>
    </row>
    <row r="350" spans="1:2">
      <c r="A350" s="5">
        <v>764</v>
      </c>
      <c r="B350" s="6" t="s">
        <v>1102</v>
      </c>
    </row>
    <row r="351" spans="1:2">
      <c r="A351" s="5">
        <v>765</v>
      </c>
      <c r="B351" s="6" t="s">
        <v>1103</v>
      </c>
    </row>
    <row r="352" spans="1:2">
      <c r="A352" s="5">
        <v>766</v>
      </c>
      <c r="B352" s="6" t="s">
        <v>261</v>
      </c>
    </row>
    <row r="353" spans="1:2">
      <c r="A353" s="5">
        <v>768</v>
      </c>
      <c r="B353" s="6" t="s">
        <v>903</v>
      </c>
    </row>
    <row r="354" spans="1:2">
      <c r="A354" s="5">
        <v>769</v>
      </c>
      <c r="B354" s="6" t="s">
        <v>986</v>
      </c>
    </row>
    <row r="355" spans="1:2">
      <c r="A355" s="5">
        <v>770</v>
      </c>
      <c r="B355" s="6" t="s">
        <v>646</v>
      </c>
    </row>
    <row r="356" spans="1:2">
      <c r="A356" s="5">
        <v>772</v>
      </c>
      <c r="B356" s="6" t="s">
        <v>745</v>
      </c>
    </row>
    <row r="357" spans="1:2">
      <c r="A357" s="5">
        <v>773</v>
      </c>
      <c r="B357" s="6" t="s">
        <v>746</v>
      </c>
    </row>
    <row r="358" spans="1:2">
      <c r="A358" s="5">
        <v>774</v>
      </c>
      <c r="B358" s="6" t="s">
        <v>747</v>
      </c>
    </row>
    <row r="359" spans="1:2">
      <c r="A359" s="5">
        <v>775</v>
      </c>
      <c r="B359" s="6" t="s">
        <v>748</v>
      </c>
    </row>
    <row r="360" spans="1:2">
      <c r="A360" s="5">
        <v>776</v>
      </c>
      <c r="B360" s="6" t="s">
        <v>749</v>
      </c>
    </row>
    <row r="361" spans="1:2">
      <c r="A361" s="5">
        <v>777</v>
      </c>
      <c r="B361" s="6" t="s">
        <v>750</v>
      </c>
    </row>
    <row r="362" spans="1:2">
      <c r="A362" s="5">
        <v>778</v>
      </c>
      <c r="B362" s="6" t="s">
        <v>751</v>
      </c>
    </row>
    <row r="363" spans="1:2">
      <c r="A363" s="5">
        <v>779</v>
      </c>
      <c r="B363" s="6" t="s">
        <v>753</v>
      </c>
    </row>
    <row r="364" spans="1:2">
      <c r="A364" s="5">
        <v>780</v>
      </c>
      <c r="B364" s="6" t="s">
        <v>752</v>
      </c>
    </row>
    <row r="365" spans="1:2">
      <c r="A365" s="5">
        <v>781</v>
      </c>
      <c r="B365" s="6" t="s">
        <v>766</v>
      </c>
    </row>
    <row r="366" spans="1:2">
      <c r="A366" s="5">
        <v>784</v>
      </c>
      <c r="B366" s="6" t="s">
        <v>768</v>
      </c>
    </row>
    <row r="367" spans="1:2">
      <c r="A367" s="5">
        <v>785</v>
      </c>
      <c r="B367" s="6" t="s">
        <v>767</v>
      </c>
    </row>
    <row r="368" spans="1:2">
      <c r="A368" s="5">
        <v>787</v>
      </c>
      <c r="B368" s="6" t="s">
        <v>756</v>
      </c>
    </row>
    <row r="369" spans="1:2">
      <c r="A369" s="5">
        <v>788</v>
      </c>
      <c r="B369" s="6" t="s">
        <v>757</v>
      </c>
    </row>
    <row r="370" spans="1:2">
      <c r="A370" s="5">
        <v>790</v>
      </c>
      <c r="B370" s="6" t="s">
        <v>337</v>
      </c>
    </row>
    <row r="371" spans="1:2">
      <c r="A371" s="5">
        <v>793</v>
      </c>
      <c r="B371" s="6" t="s">
        <v>376</v>
      </c>
    </row>
    <row r="372" spans="1:2" ht="30">
      <c r="A372" s="5">
        <v>798</v>
      </c>
      <c r="B372" s="6" t="s">
        <v>559</v>
      </c>
    </row>
    <row r="373" spans="1:2">
      <c r="A373" s="5">
        <v>799</v>
      </c>
      <c r="B373" s="6" t="s">
        <v>251</v>
      </c>
    </row>
    <row r="374" spans="1:2">
      <c r="A374" s="5">
        <v>800</v>
      </c>
      <c r="B374" s="6" t="s">
        <v>1078</v>
      </c>
    </row>
    <row r="375" spans="1:2">
      <c r="A375" s="5">
        <v>801</v>
      </c>
      <c r="B375" s="6" t="s">
        <v>263</v>
      </c>
    </row>
    <row r="376" spans="1:2">
      <c r="A376" s="5">
        <v>806</v>
      </c>
      <c r="B376" s="6" t="s">
        <v>729</v>
      </c>
    </row>
    <row r="377" spans="1:2">
      <c r="A377" s="5">
        <v>807</v>
      </c>
      <c r="B377" s="6" t="s">
        <v>730</v>
      </c>
    </row>
    <row r="378" spans="1:2">
      <c r="A378" s="5">
        <v>808</v>
      </c>
      <c r="B378" s="6" t="s">
        <v>811</v>
      </c>
    </row>
    <row r="379" spans="1:2">
      <c r="A379" s="5">
        <v>809</v>
      </c>
      <c r="B379" s="6" t="s">
        <v>830</v>
      </c>
    </row>
    <row r="380" spans="1:2">
      <c r="A380" s="5">
        <v>810</v>
      </c>
      <c r="B380" s="6" t="s">
        <v>831</v>
      </c>
    </row>
    <row r="381" spans="1:2">
      <c r="A381" s="5">
        <v>813</v>
      </c>
      <c r="B381" s="6" t="s">
        <v>851</v>
      </c>
    </row>
    <row r="382" spans="1:2">
      <c r="A382" s="5">
        <v>814</v>
      </c>
      <c r="B382" s="6" t="s">
        <v>854</v>
      </c>
    </row>
    <row r="383" spans="1:2">
      <c r="A383" s="5">
        <v>817</v>
      </c>
      <c r="B383" s="6" t="s">
        <v>633</v>
      </c>
    </row>
    <row r="384" spans="1:2">
      <c r="A384" s="5">
        <v>818</v>
      </c>
      <c r="B384" s="6" t="s">
        <v>627</v>
      </c>
    </row>
    <row r="385" spans="1:2">
      <c r="A385" s="5">
        <v>819</v>
      </c>
      <c r="B385" s="6" t="s">
        <v>628</v>
      </c>
    </row>
    <row r="386" spans="1:2">
      <c r="A386" s="5">
        <v>820</v>
      </c>
      <c r="B386" s="6" t="s">
        <v>458</v>
      </c>
    </row>
    <row r="387" spans="1:2">
      <c r="A387" s="5">
        <v>821</v>
      </c>
      <c r="B387" s="6" t="s">
        <v>459</v>
      </c>
    </row>
    <row r="388" spans="1:2">
      <c r="A388" s="5">
        <v>822</v>
      </c>
      <c r="B388" s="6" t="s">
        <v>415</v>
      </c>
    </row>
    <row r="389" spans="1:2">
      <c r="A389" s="5">
        <v>823</v>
      </c>
      <c r="B389" s="6" t="s">
        <v>411</v>
      </c>
    </row>
    <row r="390" spans="1:2">
      <c r="A390" s="5">
        <v>824</v>
      </c>
      <c r="B390" s="6" t="s">
        <v>408</v>
      </c>
    </row>
    <row r="391" spans="1:2">
      <c r="A391" s="5">
        <v>825</v>
      </c>
      <c r="B391" s="6" t="s">
        <v>409</v>
      </c>
    </row>
    <row r="392" spans="1:2">
      <c r="A392" s="5">
        <v>826</v>
      </c>
      <c r="B392" s="6" t="s">
        <v>410</v>
      </c>
    </row>
    <row r="393" spans="1:2">
      <c r="A393" s="5">
        <v>827</v>
      </c>
      <c r="B393" s="6" t="s">
        <v>425</v>
      </c>
    </row>
    <row r="394" spans="1:2">
      <c r="A394" s="5">
        <v>828</v>
      </c>
      <c r="B394" s="6" t="s">
        <v>423</v>
      </c>
    </row>
    <row r="395" spans="1:2">
      <c r="A395" s="5">
        <v>829</v>
      </c>
      <c r="B395" s="6" t="s">
        <v>424</v>
      </c>
    </row>
    <row r="396" spans="1:2">
      <c r="A396" s="5">
        <v>830</v>
      </c>
      <c r="B396" s="6" t="s">
        <v>437</v>
      </c>
    </row>
    <row r="397" spans="1:2">
      <c r="A397" s="5">
        <v>831</v>
      </c>
      <c r="B397" s="6" t="s">
        <v>430</v>
      </c>
    </row>
    <row r="398" spans="1:2">
      <c r="A398" s="5">
        <v>832</v>
      </c>
      <c r="B398" s="6" t="s">
        <v>442</v>
      </c>
    </row>
    <row r="399" spans="1:2">
      <c r="A399" s="5">
        <v>833</v>
      </c>
      <c r="B399" s="6" t="s">
        <v>448</v>
      </c>
    </row>
    <row r="400" spans="1:2">
      <c r="A400" s="5">
        <v>834</v>
      </c>
      <c r="B400" s="6" t="s">
        <v>440</v>
      </c>
    </row>
    <row r="401" spans="1:2">
      <c r="A401" s="5">
        <v>835</v>
      </c>
      <c r="B401" s="6" t="s">
        <v>438</v>
      </c>
    </row>
    <row r="402" spans="1:2">
      <c r="A402" s="5">
        <v>836</v>
      </c>
      <c r="B402" s="6" t="s">
        <v>439</v>
      </c>
    </row>
    <row r="403" spans="1:2">
      <c r="A403" s="5">
        <v>837</v>
      </c>
      <c r="B403" s="6" t="s">
        <v>445</v>
      </c>
    </row>
    <row r="404" spans="1:2">
      <c r="A404" s="5">
        <v>839</v>
      </c>
      <c r="B404" s="6" t="s">
        <v>723</v>
      </c>
    </row>
    <row r="405" spans="1:2">
      <c r="A405" s="5">
        <v>841</v>
      </c>
      <c r="B405" s="6" t="s">
        <v>897</v>
      </c>
    </row>
    <row r="406" spans="1:2">
      <c r="A406" s="5">
        <v>842</v>
      </c>
      <c r="B406" s="6" t="s">
        <v>891</v>
      </c>
    </row>
    <row r="407" spans="1:2">
      <c r="A407" s="5">
        <v>843</v>
      </c>
      <c r="B407" s="6" t="s">
        <v>20</v>
      </c>
    </row>
    <row r="408" spans="1:2">
      <c r="A408" s="5">
        <v>844</v>
      </c>
      <c r="B408" s="6" t="s">
        <v>21</v>
      </c>
    </row>
    <row r="409" spans="1:2">
      <c r="A409" s="5">
        <v>845</v>
      </c>
      <c r="B409" s="6" t="s">
        <v>22</v>
      </c>
    </row>
    <row r="410" spans="1:2">
      <c r="A410" s="5">
        <v>846</v>
      </c>
      <c r="B410" s="6" t="s">
        <v>488</v>
      </c>
    </row>
    <row r="411" spans="1:2">
      <c r="A411" s="5">
        <v>847</v>
      </c>
      <c r="B411" s="6" t="s">
        <v>29</v>
      </c>
    </row>
    <row r="412" spans="1:2">
      <c r="A412" s="5">
        <v>849</v>
      </c>
      <c r="B412" s="6" t="s">
        <v>28</v>
      </c>
    </row>
    <row r="413" spans="1:2">
      <c r="A413" s="5">
        <v>850</v>
      </c>
      <c r="B413" s="6" t="s">
        <v>36</v>
      </c>
    </row>
    <row r="414" spans="1:2">
      <c r="A414" s="5">
        <v>851</v>
      </c>
      <c r="B414" s="6" t="s">
        <v>72</v>
      </c>
    </row>
    <row r="415" spans="1:2">
      <c r="A415" s="5">
        <v>852</v>
      </c>
      <c r="B415" s="6" t="s">
        <v>73</v>
      </c>
    </row>
    <row r="416" spans="1:2">
      <c r="A416" s="5">
        <v>853</v>
      </c>
      <c r="B416" s="6" t="s">
        <v>74</v>
      </c>
    </row>
    <row r="417" spans="1:2">
      <c r="A417" s="5">
        <v>854</v>
      </c>
      <c r="B417" s="6" t="s">
        <v>232</v>
      </c>
    </row>
    <row r="418" spans="1:2">
      <c r="A418" s="5">
        <v>855</v>
      </c>
      <c r="B418" s="6" t="s">
        <v>76</v>
      </c>
    </row>
    <row r="419" spans="1:2">
      <c r="A419" s="5">
        <v>856</v>
      </c>
      <c r="B419" s="6" t="s">
        <v>77</v>
      </c>
    </row>
    <row r="420" spans="1:2">
      <c r="A420" s="5">
        <v>857</v>
      </c>
      <c r="B420" s="6" t="s">
        <v>78</v>
      </c>
    </row>
    <row r="421" spans="1:2" ht="30">
      <c r="A421" s="5">
        <v>858</v>
      </c>
      <c r="B421" s="6" t="s">
        <v>79</v>
      </c>
    </row>
    <row r="422" spans="1:2">
      <c r="A422" s="5">
        <v>859</v>
      </c>
      <c r="B422" s="6" t="s">
        <v>81</v>
      </c>
    </row>
    <row r="423" spans="1:2">
      <c r="A423" s="5">
        <v>860</v>
      </c>
      <c r="B423" s="6" t="s">
        <v>82</v>
      </c>
    </row>
    <row r="424" spans="1:2">
      <c r="A424" s="5">
        <v>861</v>
      </c>
      <c r="B424" s="6" t="s">
        <v>109</v>
      </c>
    </row>
    <row r="425" spans="1:2">
      <c r="A425" s="5">
        <v>862</v>
      </c>
      <c r="B425" s="6" t="s">
        <v>110</v>
      </c>
    </row>
    <row r="426" spans="1:2" ht="30">
      <c r="A426" s="5">
        <v>864</v>
      </c>
      <c r="B426" s="6" t="s">
        <v>112</v>
      </c>
    </row>
    <row r="427" spans="1:2">
      <c r="A427" s="5">
        <v>865</v>
      </c>
      <c r="B427" s="6" t="s">
        <v>113</v>
      </c>
    </row>
    <row r="428" spans="1:2">
      <c r="A428" s="5">
        <v>866</v>
      </c>
      <c r="B428" s="6" t="s">
        <v>171</v>
      </c>
    </row>
    <row r="429" spans="1:2" ht="30">
      <c r="A429" s="5">
        <v>867</v>
      </c>
      <c r="B429" s="6" t="s">
        <v>169</v>
      </c>
    </row>
    <row r="430" spans="1:2">
      <c r="A430" s="5">
        <v>868</v>
      </c>
      <c r="B430" s="6" t="s">
        <v>222</v>
      </c>
    </row>
    <row r="431" spans="1:2">
      <c r="A431" s="5">
        <v>870</v>
      </c>
      <c r="B431" s="6" t="s">
        <v>226</v>
      </c>
    </row>
    <row r="432" spans="1:2">
      <c r="A432" s="5">
        <v>871</v>
      </c>
      <c r="B432" s="6" t="s">
        <v>227</v>
      </c>
    </row>
    <row r="433" spans="1:2">
      <c r="A433" s="5">
        <v>872</v>
      </c>
      <c r="B433" s="6" t="s">
        <v>1150</v>
      </c>
    </row>
    <row r="434" spans="1:2">
      <c r="A434" s="5">
        <v>873</v>
      </c>
      <c r="B434" s="6" t="s">
        <v>249</v>
      </c>
    </row>
    <row r="435" spans="1:2">
      <c r="A435" s="5">
        <v>874</v>
      </c>
      <c r="B435" s="6" t="s">
        <v>250</v>
      </c>
    </row>
    <row r="436" spans="1:2">
      <c r="A436" s="5">
        <v>875</v>
      </c>
      <c r="B436" s="6" t="s">
        <v>264</v>
      </c>
    </row>
    <row r="437" spans="1:2">
      <c r="A437" s="5">
        <v>876</v>
      </c>
      <c r="B437" s="6" t="s">
        <v>265</v>
      </c>
    </row>
    <row r="438" spans="1:2">
      <c r="A438" s="5">
        <v>877</v>
      </c>
      <c r="B438" s="6" t="s">
        <v>1139</v>
      </c>
    </row>
    <row r="439" spans="1:2">
      <c r="A439" s="5">
        <v>878</v>
      </c>
      <c r="B439" s="6" t="s">
        <v>274</v>
      </c>
    </row>
    <row r="440" spans="1:2">
      <c r="A440" s="5">
        <v>879</v>
      </c>
      <c r="B440" s="6" t="s">
        <v>289</v>
      </c>
    </row>
    <row r="441" spans="1:2">
      <c r="A441" s="5">
        <v>880</v>
      </c>
      <c r="B441" s="6" t="s">
        <v>290</v>
      </c>
    </row>
    <row r="442" spans="1:2">
      <c r="A442" s="5">
        <v>881</v>
      </c>
      <c r="B442" s="6" t="s">
        <v>291</v>
      </c>
    </row>
    <row r="443" spans="1:2">
      <c r="A443" s="5">
        <v>882</v>
      </c>
      <c r="B443" s="6" t="s">
        <v>293</v>
      </c>
    </row>
    <row r="444" spans="1:2">
      <c r="A444" s="5">
        <v>883</v>
      </c>
      <c r="B444" s="6" t="s">
        <v>292</v>
      </c>
    </row>
    <row r="445" spans="1:2">
      <c r="A445" s="5">
        <v>884</v>
      </c>
      <c r="B445" s="6" t="s">
        <v>294</v>
      </c>
    </row>
    <row r="446" spans="1:2" ht="30">
      <c r="A446" s="5">
        <v>885</v>
      </c>
      <c r="B446" s="6" t="s">
        <v>296</v>
      </c>
    </row>
    <row r="447" spans="1:2">
      <c r="A447" s="5">
        <v>886</v>
      </c>
      <c r="B447" s="6" t="s">
        <v>297</v>
      </c>
    </row>
    <row r="448" spans="1:2">
      <c r="A448" s="5">
        <v>887</v>
      </c>
      <c r="B448" s="6" t="s">
        <v>300</v>
      </c>
    </row>
    <row r="449" spans="1:2">
      <c r="A449" s="5">
        <v>888</v>
      </c>
      <c r="B449" s="6" t="s">
        <v>301</v>
      </c>
    </row>
    <row r="450" spans="1:2">
      <c r="A450" s="5">
        <v>889</v>
      </c>
      <c r="B450" s="6" t="s">
        <v>298</v>
      </c>
    </row>
    <row r="451" spans="1:2">
      <c r="A451" s="5">
        <v>891</v>
      </c>
      <c r="B451" s="6" t="s">
        <v>233</v>
      </c>
    </row>
    <row r="452" spans="1:2">
      <c r="A452" s="5">
        <v>892</v>
      </c>
      <c r="B452" s="6" t="s">
        <v>307</v>
      </c>
    </row>
    <row r="453" spans="1:2">
      <c r="A453" s="5">
        <v>893</v>
      </c>
      <c r="B453" s="6" t="s">
        <v>308</v>
      </c>
    </row>
    <row r="454" spans="1:2">
      <c r="A454" s="5">
        <v>894</v>
      </c>
      <c r="B454" s="6" t="s">
        <v>309</v>
      </c>
    </row>
    <row r="455" spans="1:2">
      <c r="A455" s="5">
        <v>895</v>
      </c>
      <c r="B455" s="6" t="s">
        <v>311</v>
      </c>
    </row>
    <row r="456" spans="1:2">
      <c r="A456" s="5">
        <v>896</v>
      </c>
      <c r="B456" s="6" t="s">
        <v>310</v>
      </c>
    </row>
    <row r="457" spans="1:2">
      <c r="A457" s="5">
        <v>897</v>
      </c>
      <c r="B457" s="6" t="s">
        <v>389</v>
      </c>
    </row>
    <row r="458" spans="1:2">
      <c r="A458" s="5">
        <v>898</v>
      </c>
      <c r="B458" s="6" t="s">
        <v>388</v>
      </c>
    </row>
    <row r="459" spans="1:2">
      <c r="A459" s="5">
        <v>899</v>
      </c>
      <c r="B459" s="6" t="s">
        <v>385</v>
      </c>
    </row>
    <row r="460" spans="1:2">
      <c r="A460" s="5">
        <v>900</v>
      </c>
      <c r="B460" s="6" t="s">
        <v>390</v>
      </c>
    </row>
    <row r="461" spans="1:2">
      <c r="A461" s="5">
        <v>901</v>
      </c>
      <c r="B461" s="6" t="s">
        <v>392</v>
      </c>
    </row>
    <row r="462" spans="1:2">
      <c r="A462" s="5">
        <v>902</v>
      </c>
      <c r="B462" s="6" t="s">
        <v>393</v>
      </c>
    </row>
    <row r="463" spans="1:2">
      <c r="A463" s="5">
        <v>903</v>
      </c>
      <c r="B463" s="6" t="s">
        <v>391</v>
      </c>
    </row>
    <row r="464" spans="1:2">
      <c r="A464" s="5">
        <v>904</v>
      </c>
      <c r="B464" s="6" t="s">
        <v>474</v>
      </c>
    </row>
    <row r="465" spans="1:2">
      <c r="A465" s="5">
        <v>905</v>
      </c>
      <c r="B465" s="6" t="s">
        <v>484</v>
      </c>
    </row>
    <row r="466" spans="1:2">
      <c r="A466" s="5">
        <v>906</v>
      </c>
      <c r="B466" s="6" t="s">
        <v>485</v>
      </c>
    </row>
    <row r="467" spans="1:2">
      <c r="A467" s="5">
        <v>907</v>
      </c>
      <c r="B467" s="6" t="s">
        <v>1143</v>
      </c>
    </row>
    <row r="468" spans="1:2">
      <c r="A468" s="5">
        <v>908</v>
      </c>
      <c r="B468" s="6" t="s">
        <v>496</v>
      </c>
    </row>
    <row r="469" spans="1:2">
      <c r="A469" s="5">
        <v>909</v>
      </c>
      <c r="B469" s="6" t="s">
        <v>497</v>
      </c>
    </row>
    <row r="470" spans="1:2">
      <c r="A470" s="5">
        <v>911</v>
      </c>
      <c r="B470" s="6" t="s">
        <v>506</v>
      </c>
    </row>
    <row r="471" spans="1:2">
      <c r="A471" s="5">
        <v>912</v>
      </c>
      <c r="B471" s="6" t="s">
        <v>511</v>
      </c>
    </row>
    <row r="472" spans="1:2">
      <c r="A472" s="5">
        <v>913</v>
      </c>
      <c r="B472" s="6" t="s">
        <v>529</v>
      </c>
    </row>
    <row r="473" spans="1:2">
      <c r="A473" s="5">
        <v>914</v>
      </c>
      <c r="B473" s="6" t="s">
        <v>1145</v>
      </c>
    </row>
    <row r="474" spans="1:2">
      <c r="A474" s="5">
        <v>915</v>
      </c>
      <c r="B474" s="6" t="s">
        <v>537</v>
      </c>
    </row>
    <row r="475" spans="1:2">
      <c r="A475" s="5">
        <v>916</v>
      </c>
      <c r="B475" s="6" t="s">
        <v>538</v>
      </c>
    </row>
    <row r="476" spans="1:2">
      <c r="A476" s="5">
        <v>917</v>
      </c>
      <c r="B476" s="6" t="s">
        <v>539</v>
      </c>
    </row>
    <row r="477" spans="1:2" ht="30">
      <c r="A477" s="5">
        <v>918</v>
      </c>
      <c r="B477" s="6" t="s">
        <v>541</v>
      </c>
    </row>
    <row r="478" spans="1:2">
      <c r="A478" s="5">
        <v>919</v>
      </c>
      <c r="B478" s="6" t="s">
        <v>543</v>
      </c>
    </row>
    <row r="479" spans="1:2" ht="30">
      <c r="A479" s="5">
        <v>920</v>
      </c>
      <c r="B479" s="6" t="s">
        <v>542</v>
      </c>
    </row>
    <row r="480" spans="1:2" ht="30">
      <c r="A480" s="5">
        <v>921</v>
      </c>
      <c r="B480" s="6" t="s">
        <v>545</v>
      </c>
    </row>
    <row r="481" spans="1:2">
      <c r="A481" s="5">
        <v>922</v>
      </c>
      <c r="B481" s="6" t="s">
        <v>234</v>
      </c>
    </row>
    <row r="482" spans="1:2" ht="30">
      <c r="A482" s="5">
        <v>923</v>
      </c>
      <c r="B482" s="6" t="s">
        <v>549</v>
      </c>
    </row>
    <row r="483" spans="1:2">
      <c r="A483" s="5">
        <v>924</v>
      </c>
      <c r="B483" s="6" t="s">
        <v>550</v>
      </c>
    </row>
    <row r="484" spans="1:2">
      <c r="A484" s="5">
        <v>925</v>
      </c>
      <c r="B484" s="6" t="s">
        <v>235</v>
      </c>
    </row>
    <row r="485" spans="1:2">
      <c r="A485" s="5">
        <v>926</v>
      </c>
      <c r="B485" s="6" t="s">
        <v>554</v>
      </c>
    </row>
    <row r="486" spans="1:2" ht="45">
      <c r="A486" s="5">
        <v>927</v>
      </c>
      <c r="B486" s="6" t="s">
        <v>634</v>
      </c>
    </row>
    <row r="487" spans="1:2">
      <c r="A487" s="5">
        <v>928</v>
      </c>
      <c r="B487" s="6" t="s">
        <v>635</v>
      </c>
    </row>
    <row r="488" spans="1:2">
      <c r="A488" s="5">
        <v>929</v>
      </c>
      <c r="B488" s="6" t="s">
        <v>636</v>
      </c>
    </row>
    <row r="489" spans="1:2" ht="30">
      <c r="A489" s="5">
        <v>931</v>
      </c>
      <c r="B489" s="6" t="s">
        <v>236</v>
      </c>
    </row>
    <row r="490" spans="1:2">
      <c r="A490" s="5">
        <v>932</v>
      </c>
      <c r="B490" s="6" t="s">
        <v>642</v>
      </c>
    </row>
    <row r="491" spans="1:2">
      <c r="A491" s="5">
        <v>933</v>
      </c>
      <c r="B491" s="6" t="s">
        <v>643</v>
      </c>
    </row>
    <row r="492" spans="1:2">
      <c r="A492" s="5">
        <v>935</v>
      </c>
      <c r="B492" s="6" t="s">
        <v>649</v>
      </c>
    </row>
    <row r="493" spans="1:2">
      <c r="A493" s="5">
        <v>936</v>
      </c>
      <c r="B493" s="6" t="s">
        <v>650</v>
      </c>
    </row>
    <row r="494" spans="1:2">
      <c r="A494" s="5">
        <v>937</v>
      </c>
      <c r="B494" s="6" t="s">
        <v>237</v>
      </c>
    </row>
    <row r="495" spans="1:2">
      <c r="A495" s="5">
        <v>938</v>
      </c>
      <c r="B495" s="6" t="s">
        <v>239</v>
      </c>
    </row>
    <row r="496" spans="1:2">
      <c r="A496" s="5">
        <v>939</v>
      </c>
      <c r="B496" s="6" t="s">
        <v>238</v>
      </c>
    </row>
    <row r="497" spans="1:2">
      <c r="A497" s="5">
        <v>940</v>
      </c>
      <c r="B497" s="6" t="s">
        <v>675</v>
      </c>
    </row>
    <row r="498" spans="1:2">
      <c r="A498" s="5">
        <v>941</v>
      </c>
      <c r="B498" s="6" t="s">
        <v>676</v>
      </c>
    </row>
    <row r="499" spans="1:2" ht="30">
      <c r="A499" s="5">
        <v>942</v>
      </c>
      <c r="B499" s="6" t="s">
        <v>677</v>
      </c>
    </row>
    <row r="500" spans="1:2">
      <c r="A500" s="5">
        <v>943</v>
      </c>
      <c r="B500" s="6" t="s">
        <v>678</v>
      </c>
    </row>
    <row r="501" spans="1:2">
      <c r="A501" s="5">
        <v>944</v>
      </c>
      <c r="B501" s="6" t="s">
        <v>697</v>
      </c>
    </row>
    <row r="502" spans="1:2">
      <c r="A502" s="5">
        <v>946</v>
      </c>
      <c r="B502" s="6" t="s">
        <v>698</v>
      </c>
    </row>
    <row r="503" spans="1:2">
      <c r="A503" s="5">
        <v>947</v>
      </c>
      <c r="B503" s="6" t="s">
        <v>710</v>
      </c>
    </row>
    <row r="504" spans="1:2">
      <c r="A504" s="5">
        <v>948</v>
      </c>
      <c r="B504" s="6" t="s">
        <v>721</v>
      </c>
    </row>
    <row r="505" spans="1:2">
      <c r="A505" s="5">
        <v>949</v>
      </c>
      <c r="B505" s="6" t="s">
        <v>736</v>
      </c>
    </row>
    <row r="506" spans="1:2">
      <c r="A506" s="5">
        <v>950</v>
      </c>
      <c r="B506" s="6" t="s">
        <v>1151</v>
      </c>
    </row>
    <row r="507" spans="1:2">
      <c r="A507" s="5">
        <v>952</v>
      </c>
      <c r="B507" s="6" t="s">
        <v>741</v>
      </c>
    </row>
    <row r="508" spans="1:2">
      <c r="A508" s="5">
        <v>953</v>
      </c>
      <c r="B508" s="6" t="s">
        <v>779</v>
      </c>
    </row>
    <row r="509" spans="1:2">
      <c r="A509" s="5">
        <v>954</v>
      </c>
      <c r="B509" s="6" t="s">
        <v>778</v>
      </c>
    </row>
    <row r="510" spans="1:2">
      <c r="A510" s="5">
        <v>955</v>
      </c>
      <c r="B510" s="6" t="s">
        <v>780</v>
      </c>
    </row>
    <row r="511" spans="1:2">
      <c r="A511" s="5">
        <v>957</v>
      </c>
      <c r="B511" s="6" t="s">
        <v>781</v>
      </c>
    </row>
    <row r="512" spans="1:2" ht="30">
      <c r="A512" s="5">
        <v>958</v>
      </c>
      <c r="B512" s="6" t="s">
        <v>240</v>
      </c>
    </row>
    <row r="513" spans="1:2">
      <c r="A513" s="5">
        <v>959</v>
      </c>
      <c r="B513" s="6" t="s">
        <v>809</v>
      </c>
    </row>
    <row r="514" spans="1:2">
      <c r="A514" s="5">
        <v>960</v>
      </c>
      <c r="B514" s="6" t="s">
        <v>810</v>
      </c>
    </row>
    <row r="515" spans="1:2" ht="30">
      <c r="A515" s="5">
        <v>961</v>
      </c>
      <c r="B515" s="6" t="s">
        <v>814</v>
      </c>
    </row>
    <row r="516" spans="1:2">
      <c r="A516" s="5">
        <v>962</v>
      </c>
      <c r="B516" s="6" t="s">
        <v>815</v>
      </c>
    </row>
    <row r="517" spans="1:2">
      <c r="A517" s="5">
        <v>963</v>
      </c>
      <c r="B517" s="6" t="s">
        <v>816</v>
      </c>
    </row>
    <row r="518" spans="1:2" ht="30">
      <c r="A518" s="5">
        <v>964</v>
      </c>
      <c r="B518" s="6" t="s">
        <v>818</v>
      </c>
    </row>
    <row r="519" spans="1:2">
      <c r="A519" s="5">
        <v>965</v>
      </c>
      <c r="B519" s="6" t="s">
        <v>819</v>
      </c>
    </row>
    <row r="520" spans="1:2">
      <c r="A520" s="5">
        <v>966</v>
      </c>
      <c r="B520" s="6" t="s">
        <v>823</v>
      </c>
    </row>
    <row r="521" spans="1:2">
      <c r="A521" s="5">
        <v>967</v>
      </c>
      <c r="B521" s="6" t="s">
        <v>824</v>
      </c>
    </row>
    <row r="522" spans="1:2">
      <c r="A522" s="5">
        <v>969</v>
      </c>
      <c r="B522" s="6" t="s">
        <v>826</v>
      </c>
    </row>
    <row r="523" spans="1:2">
      <c r="A523" s="5">
        <v>970</v>
      </c>
      <c r="B523" s="6" t="s">
        <v>825</v>
      </c>
    </row>
    <row r="524" spans="1:2">
      <c r="A524" s="5">
        <v>971</v>
      </c>
      <c r="B524" s="6" t="s">
        <v>828</v>
      </c>
    </row>
    <row r="525" spans="1:2">
      <c r="A525" s="5">
        <v>972</v>
      </c>
      <c r="B525" s="6" t="s">
        <v>832</v>
      </c>
    </row>
    <row r="526" spans="1:2" ht="30">
      <c r="A526" s="5">
        <v>973</v>
      </c>
      <c r="B526" s="6" t="s">
        <v>833</v>
      </c>
    </row>
    <row r="527" spans="1:2">
      <c r="A527" s="5">
        <v>974</v>
      </c>
      <c r="B527" s="6" t="s">
        <v>241</v>
      </c>
    </row>
    <row r="528" spans="1:2">
      <c r="A528" s="5">
        <v>975</v>
      </c>
      <c r="B528" s="6" t="s">
        <v>836</v>
      </c>
    </row>
    <row r="529" spans="1:2">
      <c r="A529" s="5">
        <v>976</v>
      </c>
      <c r="B529" s="6" t="s">
        <v>839</v>
      </c>
    </row>
    <row r="530" spans="1:2">
      <c r="A530" s="5">
        <v>977</v>
      </c>
      <c r="B530" s="6" t="s">
        <v>840</v>
      </c>
    </row>
    <row r="531" spans="1:2">
      <c r="A531" s="5">
        <v>978</v>
      </c>
      <c r="B531" s="6" t="s">
        <v>842</v>
      </c>
    </row>
    <row r="532" spans="1:2" ht="30">
      <c r="A532" s="5">
        <v>979</v>
      </c>
      <c r="B532" s="6" t="s">
        <v>838</v>
      </c>
    </row>
    <row r="533" spans="1:2" ht="30">
      <c r="A533" s="5">
        <v>980</v>
      </c>
      <c r="B533" s="6" t="s">
        <v>846</v>
      </c>
    </row>
    <row r="534" spans="1:2" ht="30">
      <c r="A534" s="5">
        <v>981</v>
      </c>
      <c r="B534" s="6" t="s">
        <v>894</v>
      </c>
    </row>
    <row r="535" spans="1:2">
      <c r="A535" s="5">
        <v>982</v>
      </c>
      <c r="B535" s="6" t="s">
        <v>892</v>
      </c>
    </row>
    <row r="536" spans="1:2">
      <c r="A536" s="5">
        <v>983</v>
      </c>
      <c r="B536" s="6" t="s">
        <v>893</v>
      </c>
    </row>
    <row r="537" spans="1:2">
      <c r="A537" s="5">
        <v>984</v>
      </c>
      <c r="B537" s="6" t="s">
        <v>895</v>
      </c>
    </row>
    <row r="538" spans="1:2">
      <c r="A538" s="5">
        <v>985</v>
      </c>
      <c r="B538" s="6" t="s">
        <v>900</v>
      </c>
    </row>
    <row r="539" spans="1:2">
      <c r="A539" s="5">
        <v>986</v>
      </c>
      <c r="B539" s="6" t="s">
        <v>899</v>
      </c>
    </row>
    <row r="540" spans="1:2">
      <c r="A540" s="5">
        <v>987</v>
      </c>
      <c r="B540" s="6" t="s">
        <v>901</v>
      </c>
    </row>
    <row r="541" spans="1:2">
      <c r="A541" s="5">
        <v>988</v>
      </c>
      <c r="B541" s="6" t="s">
        <v>905</v>
      </c>
    </row>
    <row r="542" spans="1:2" ht="30">
      <c r="A542" s="5">
        <v>989</v>
      </c>
      <c r="B542" s="6" t="s">
        <v>916</v>
      </c>
    </row>
    <row r="543" spans="1:2" ht="30">
      <c r="A543" s="5">
        <v>990</v>
      </c>
      <c r="B543" s="6" t="s">
        <v>917</v>
      </c>
    </row>
    <row r="544" spans="1:2" ht="30">
      <c r="A544" s="5">
        <v>991</v>
      </c>
      <c r="B544" s="6" t="s">
        <v>925</v>
      </c>
    </row>
    <row r="545" spans="1:2">
      <c r="A545" s="5">
        <v>992</v>
      </c>
      <c r="B545" s="6" t="s">
        <v>926</v>
      </c>
    </row>
    <row r="546" spans="1:2">
      <c r="A546" s="5">
        <v>994</v>
      </c>
      <c r="B546" s="6" t="s">
        <v>937</v>
      </c>
    </row>
    <row r="547" spans="1:2">
      <c r="A547" s="5">
        <v>995</v>
      </c>
      <c r="B547" s="6" t="s">
        <v>936</v>
      </c>
    </row>
    <row r="548" spans="1:2">
      <c r="A548" s="5">
        <v>996</v>
      </c>
      <c r="B548" s="6" t="s">
        <v>935</v>
      </c>
    </row>
    <row r="549" spans="1:2" ht="30">
      <c r="A549" s="5">
        <v>997</v>
      </c>
      <c r="B549" s="6" t="s">
        <v>242</v>
      </c>
    </row>
    <row r="550" spans="1:2">
      <c r="A550" s="5">
        <v>998</v>
      </c>
      <c r="B550" s="6" t="s">
        <v>941</v>
      </c>
    </row>
    <row r="551" spans="1:2" ht="30">
      <c r="A551" s="5">
        <v>1000</v>
      </c>
      <c r="B551" s="6" t="s">
        <v>940</v>
      </c>
    </row>
    <row r="552" spans="1:2">
      <c r="A552" s="5">
        <v>1001</v>
      </c>
      <c r="B552" s="6" t="s">
        <v>970</v>
      </c>
    </row>
    <row r="553" spans="1:2">
      <c r="A553" s="5">
        <v>1002</v>
      </c>
      <c r="B553" s="6" t="s">
        <v>971</v>
      </c>
    </row>
    <row r="554" spans="1:2">
      <c r="A554" s="5">
        <v>1003</v>
      </c>
      <c r="B554" s="6" t="s">
        <v>989</v>
      </c>
    </row>
    <row r="555" spans="1:2" ht="30">
      <c r="A555" s="5">
        <v>1004</v>
      </c>
      <c r="B555" s="6" t="s">
        <v>988</v>
      </c>
    </row>
    <row r="556" spans="1:2" ht="30">
      <c r="A556" s="5">
        <v>1005</v>
      </c>
      <c r="B556" s="6" t="s">
        <v>997</v>
      </c>
    </row>
    <row r="557" spans="1:2" ht="30">
      <c r="A557" s="5">
        <v>1006</v>
      </c>
      <c r="B557" s="6" t="s">
        <v>243</v>
      </c>
    </row>
    <row r="558" spans="1:2" ht="30">
      <c r="A558" s="5">
        <v>1007</v>
      </c>
      <c r="B558" s="6" t="s">
        <v>998</v>
      </c>
    </row>
    <row r="559" spans="1:2" ht="30">
      <c r="A559" s="5">
        <v>1008</v>
      </c>
      <c r="B559" s="6" t="s">
        <v>1001</v>
      </c>
    </row>
    <row r="560" spans="1:2" ht="30">
      <c r="A560" s="5">
        <v>1009</v>
      </c>
      <c r="B560" s="6" t="s">
        <v>1000</v>
      </c>
    </row>
    <row r="561" spans="1:2" ht="30">
      <c r="A561" s="5">
        <v>1010</v>
      </c>
      <c r="B561" s="6" t="s">
        <v>1002</v>
      </c>
    </row>
    <row r="562" spans="1:2" ht="30">
      <c r="A562" s="5">
        <v>1012</v>
      </c>
      <c r="B562" s="6" t="s">
        <v>1006</v>
      </c>
    </row>
    <row r="563" spans="1:2">
      <c r="A563" s="5">
        <v>1013</v>
      </c>
      <c r="B563" s="6" t="s">
        <v>1022</v>
      </c>
    </row>
    <row r="564" spans="1:2">
      <c r="A564" s="5">
        <v>1014</v>
      </c>
      <c r="B564" s="6" t="s">
        <v>1021</v>
      </c>
    </row>
    <row r="565" spans="1:2">
      <c r="A565" s="5">
        <v>1015</v>
      </c>
      <c r="B565" s="6" t="s">
        <v>1026</v>
      </c>
    </row>
    <row r="566" spans="1:2" ht="30">
      <c r="A566" s="5">
        <v>1016</v>
      </c>
      <c r="B566" s="6" t="s">
        <v>244</v>
      </c>
    </row>
    <row r="567" spans="1:2">
      <c r="A567" s="5">
        <v>1017</v>
      </c>
      <c r="B567" s="6" t="s">
        <v>1034</v>
      </c>
    </row>
    <row r="568" spans="1:2" ht="30">
      <c r="A568" s="5">
        <v>1018</v>
      </c>
      <c r="B568" s="6" t="s">
        <v>245</v>
      </c>
    </row>
    <row r="569" spans="1:2">
      <c r="A569" s="5">
        <v>1020</v>
      </c>
      <c r="B569" s="6" t="s">
        <v>1095</v>
      </c>
    </row>
    <row r="570" spans="1:2" ht="30">
      <c r="A570" s="5">
        <v>1021</v>
      </c>
      <c r="B570" s="6" t="s">
        <v>1100</v>
      </c>
    </row>
    <row r="571" spans="1:2">
      <c r="A571" s="5">
        <v>1022</v>
      </c>
      <c r="B571" s="6" t="s">
        <v>1153</v>
      </c>
    </row>
    <row r="572" spans="1:2">
      <c r="A572" s="5">
        <v>1025</v>
      </c>
      <c r="B572" s="6" t="s">
        <v>1114</v>
      </c>
    </row>
    <row r="573" spans="1:2">
      <c r="A573" s="5">
        <v>1026</v>
      </c>
      <c r="B573" s="6" t="s">
        <v>1157</v>
      </c>
    </row>
    <row r="574" spans="1:2">
      <c r="A574" s="5">
        <v>1028</v>
      </c>
      <c r="B574" s="6" t="s">
        <v>1159</v>
      </c>
    </row>
    <row r="575" spans="1:2">
      <c r="A575" s="5">
        <v>1029</v>
      </c>
      <c r="B575" s="6" t="s">
        <v>1160</v>
      </c>
    </row>
    <row r="576" spans="1:2">
      <c r="A576" s="5">
        <v>1030</v>
      </c>
      <c r="B576" s="6" t="s">
        <v>1161</v>
      </c>
    </row>
    <row r="577" spans="1:2">
      <c r="A577" s="5">
        <v>1031</v>
      </c>
      <c r="B577" s="6" t="s">
        <v>1168</v>
      </c>
    </row>
    <row r="578" spans="1:2">
      <c r="A578" s="5">
        <v>1032</v>
      </c>
      <c r="B578" s="6" t="s">
        <v>1169</v>
      </c>
    </row>
    <row r="579" spans="1:2">
      <c r="A579" s="5">
        <v>1033</v>
      </c>
      <c r="B579" s="6" t="s">
        <v>1177</v>
      </c>
    </row>
    <row r="580" spans="1:2">
      <c r="A580" s="5">
        <v>1037</v>
      </c>
      <c r="B580" s="6" t="s">
        <v>738</v>
      </c>
    </row>
    <row r="581" spans="1:2">
      <c r="A581" s="5">
        <v>1040</v>
      </c>
      <c r="B581" s="6" t="s">
        <v>417</v>
      </c>
    </row>
    <row r="582" spans="1:2">
      <c r="A582" s="5">
        <v>1048</v>
      </c>
      <c r="B582" s="6" t="s">
        <v>785</v>
      </c>
    </row>
    <row r="583" spans="1:2">
      <c r="A583" s="5">
        <v>1049</v>
      </c>
      <c r="B583" s="6" t="s">
        <v>295</v>
      </c>
    </row>
    <row r="584" spans="1:2">
      <c r="A584" s="5">
        <v>1054</v>
      </c>
      <c r="B584" s="6" t="s">
        <v>1166</v>
      </c>
    </row>
    <row r="585" spans="1:2">
      <c r="A585" s="5">
        <v>1055</v>
      </c>
      <c r="B585" s="6" t="s">
        <v>1016</v>
      </c>
    </row>
    <row r="586" spans="1:2">
      <c r="A586" s="5">
        <v>1056</v>
      </c>
      <c r="B586" s="6" t="s">
        <v>1092</v>
      </c>
    </row>
    <row r="587" spans="1:2">
      <c r="A587" s="5">
        <v>1057</v>
      </c>
      <c r="B587" s="6" t="s">
        <v>1152</v>
      </c>
    </row>
    <row r="588" spans="1:2">
      <c r="A588" s="5">
        <v>1059</v>
      </c>
      <c r="B588" s="6" t="s">
        <v>728</v>
      </c>
    </row>
    <row r="589" spans="1:2">
      <c r="A589" s="5">
        <v>1061</v>
      </c>
      <c r="B589" s="6" t="s">
        <v>269</v>
      </c>
    </row>
    <row r="590" spans="1:2">
      <c r="A590" s="5">
        <v>1064</v>
      </c>
      <c r="B590" s="6" t="s">
        <v>494</v>
      </c>
    </row>
    <row r="591" spans="1:2">
      <c r="A591" s="5">
        <v>1065</v>
      </c>
      <c r="B591" s="6" t="s">
        <v>638</v>
      </c>
    </row>
    <row r="592" spans="1:2">
      <c r="A592" s="5">
        <v>1067</v>
      </c>
      <c r="B592" s="6" t="s">
        <v>667</v>
      </c>
    </row>
    <row r="593" spans="1:2">
      <c r="A593" s="5">
        <v>1068</v>
      </c>
      <c r="B593" s="6" t="s">
        <v>668</v>
      </c>
    </row>
    <row r="594" spans="1:2">
      <c r="A594" s="5">
        <v>1069</v>
      </c>
      <c r="B594" s="6" t="s">
        <v>670</v>
      </c>
    </row>
    <row r="595" spans="1:2">
      <c r="A595" s="5">
        <v>1070</v>
      </c>
      <c r="B595" s="6" t="s">
        <v>669</v>
      </c>
    </row>
    <row r="596" spans="1:2">
      <c r="A596" s="5">
        <v>1074</v>
      </c>
      <c r="B596" s="6" t="s">
        <v>881</v>
      </c>
    </row>
    <row r="597" spans="1:2">
      <c r="A597" s="5">
        <v>1076</v>
      </c>
      <c r="B597" s="6" t="s">
        <v>885</v>
      </c>
    </row>
    <row r="598" spans="1:2" ht="30">
      <c r="A598" s="5">
        <v>1077</v>
      </c>
      <c r="B598" s="6" t="s">
        <v>888</v>
      </c>
    </row>
    <row r="599" spans="1:2">
      <c r="A599" s="5">
        <v>1078</v>
      </c>
      <c r="B599" s="6" t="s">
        <v>889</v>
      </c>
    </row>
    <row r="600" spans="1:2">
      <c r="A600" s="5">
        <v>1079</v>
      </c>
      <c r="B600" s="6" t="s">
        <v>1004</v>
      </c>
    </row>
    <row r="601" spans="1:2">
      <c r="A601" s="5">
        <v>1080</v>
      </c>
      <c r="B601" s="6" t="s">
        <v>1056</v>
      </c>
    </row>
    <row r="602" spans="1:2">
      <c r="A602" s="5">
        <v>1081</v>
      </c>
      <c r="B602" s="6" t="s">
        <v>1055</v>
      </c>
    </row>
    <row r="603" spans="1:2">
      <c r="A603" s="5">
        <v>1082</v>
      </c>
      <c r="B603" s="6" t="s">
        <v>1093</v>
      </c>
    </row>
    <row r="604" spans="1:2">
      <c r="A604" s="5">
        <v>1083</v>
      </c>
      <c r="B604" s="6" t="s">
        <v>1091</v>
      </c>
    </row>
    <row r="605" spans="1:2">
      <c r="A605" s="5">
        <v>1084</v>
      </c>
      <c r="B605" s="6" t="s">
        <v>1096</v>
      </c>
    </row>
    <row r="606" spans="1:2">
      <c r="A606" s="5">
        <v>1085</v>
      </c>
      <c r="B606" s="6" t="s">
        <v>1165</v>
      </c>
    </row>
    <row r="607" spans="1:2">
      <c r="A607" s="5">
        <v>1087</v>
      </c>
      <c r="B607" s="6" t="s">
        <v>1099</v>
      </c>
    </row>
    <row r="608" spans="1:2">
      <c r="A608" s="5">
        <v>1090</v>
      </c>
      <c r="B608" s="6" t="s">
        <v>192</v>
      </c>
    </row>
    <row r="609" spans="1:2">
      <c r="A609" s="5">
        <v>1091</v>
      </c>
      <c r="B609" s="6" t="s">
        <v>801</v>
      </c>
    </row>
    <row r="610" spans="1:2">
      <c r="A610" s="5">
        <v>1092</v>
      </c>
      <c r="B610" s="6" t="s">
        <v>193</v>
      </c>
    </row>
    <row r="611" spans="1:2">
      <c r="A611" s="5">
        <v>1094</v>
      </c>
      <c r="B611" s="6" t="s">
        <v>696</v>
      </c>
    </row>
    <row r="612" spans="1:2">
      <c r="A612" s="5">
        <v>1095</v>
      </c>
      <c r="B612" s="6" t="s">
        <v>83</v>
      </c>
    </row>
    <row r="613" spans="1:2">
      <c r="A613" s="5">
        <v>1097</v>
      </c>
      <c r="B613" s="6" t="s">
        <v>258</v>
      </c>
    </row>
    <row r="614" spans="1:2">
      <c r="A614" s="5">
        <v>1100</v>
      </c>
      <c r="B614" s="6" t="s">
        <v>924</v>
      </c>
    </row>
    <row r="615" spans="1:2">
      <c r="A615" s="5">
        <v>1101</v>
      </c>
      <c r="B615" s="6" t="s">
        <v>737</v>
      </c>
    </row>
    <row r="616" spans="1:2">
      <c r="A616" s="5">
        <v>1102</v>
      </c>
      <c r="B616" s="6" t="s">
        <v>500</v>
      </c>
    </row>
    <row r="617" spans="1:2" ht="30">
      <c r="A617" s="5">
        <v>1103</v>
      </c>
      <c r="B617" s="6" t="s">
        <v>883</v>
      </c>
    </row>
    <row r="618" spans="1:2">
      <c r="A618" s="5">
        <v>1104</v>
      </c>
      <c r="B618" s="6" t="s">
        <v>58</v>
      </c>
    </row>
    <row r="619" spans="1:2">
      <c r="A619" s="5">
        <v>1105</v>
      </c>
      <c r="B619" s="6" t="s">
        <v>60</v>
      </c>
    </row>
    <row r="620" spans="1:2" ht="30">
      <c r="A620" s="5">
        <v>1108</v>
      </c>
      <c r="B620" s="6" t="s">
        <v>502</v>
      </c>
    </row>
    <row r="621" spans="1:2">
      <c r="A621" s="5">
        <v>1110</v>
      </c>
      <c r="B621" s="6" t="s">
        <v>498</v>
      </c>
    </row>
    <row r="622" spans="1:2">
      <c r="A622" s="5">
        <v>1111</v>
      </c>
      <c r="B622" s="6" t="s">
        <v>331</v>
      </c>
    </row>
    <row r="623" spans="1:2">
      <c r="A623" s="5">
        <v>1113</v>
      </c>
      <c r="B623" s="6" t="s">
        <v>247</v>
      </c>
    </row>
    <row r="624" spans="1:2">
      <c r="A624" s="5">
        <v>1114</v>
      </c>
      <c r="B624" s="6" t="s">
        <v>304</v>
      </c>
    </row>
    <row r="625" spans="1:2">
      <c r="A625" s="5">
        <v>1115</v>
      </c>
      <c r="B625" s="6" t="s">
        <v>686</v>
      </c>
    </row>
    <row r="626" spans="1:2">
      <c r="A626" s="5">
        <v>1117</v>
      </c>
      <c r="B626" s="6" t="s">
        <v>616</v>
      </c>
    </row>
    <row r="627" spans="1:2">
      <c r="A627" s="5">
        <v>1118</v>
      </c>
      <c r="B627" s="6" t="s">
        <v>615</v>
      </c>
    </row>
    <row r="628" spans="1:2">
      <c r="A628" s="5">
        <v>1119</v>
      </c>
      <c r="B628" s="6" t="s">
        <v>253</v>
      </c>
    </row>
    <row r="629" spans="1:2" ht="30">
      <c r="A629" s="5">
        <v>1122</v>
      </c>
      <c r="B629" s="6" t="s">
        <v>948</v>
      </c>
    </row>
    <row r="630" spans="1:2">
      <c r="A630" s="5">
        <v>1123</v>
      </c>
      <c r="B630" s="6" t="s">
        <v>844</v>
      </c>
    </row>
    <row r="631" spans="1:2">
      <c r="A631" s="5">
        <v>1124</v>
      </c>
      <c r="B631" s="6" t="s">
        <v>358</v>
      </c>
    </row>
    <row r="632" spans="1:2">
      <c r="A632" s="5">
        <v>1125</v>
      </c>
      <c r="B632" s="6" t="s">
        <v>799</v>
      </c>
    </row>
    <row r="633" spans="1:2">
      <c r="A633" s="5">
        <v>1126</v>
      </c>
      <c r="B633" s="6" t="s">
        <v>798</v>
      </c>
    </row>
    <row r="634" spans="1:2">
      <c r="A634" s="5">
        <v>1127</v>
      </c>
      <c r="B634" s="6" t="s">
        <v>797</v>
      </c>
    </row>
    <row r="635" spans="1:2">
      <c r="A635" s="5">
        <v>1128</v>
      </c>
      <c r="B635" s="6" t="s">
        <v>796</v>
      </c>
    </row>
    <row r="636" spans="1:2">
      <c r="A636" s="5">
        <v>1129</v>
      </c>
      <c r="B636" s="6" t="s">
        <v>795</v>
      </c>
    </row>
    <row r="637" spans="1:2">
      <c r="A637" s="5">
        <v>1130</v>
      </c>
      <c r="B637" s="6" t="s">
        <v>802</v>
      </c>
    </row>
    <row r="638" spans="1:2">
      <c r="A638" s="5">
        <v>1131</v>
      </c>
      <c r="B638" s="6" t="s">
        <v>567</v>
      </c>
    </row>
    <row r="639" spans="1:2">
      <c r="A639" s="5">
        <v>1132</v>
      </c>
      <c r="B639" s="6" t="s">
        <v>286</v>
      </c>
    </row>
    <row r="640" spans="1:2">
      <c r="A640" s="5">
        <v>1133</v>
      </c>
      <c r="B640" s="6" t="s">
        <v>288</v>
      </c>
    </row>
    <row r="641" spans="1:2">
      <c r="A641" s="5">
        <v>1135</v>
      </c>
      <c r="B641" s="6" t="s">
        <v>287</v>
      </c>
    </row>
    <row r="642" spans="1:2">
      <c r="A642" s="5">
        <v>1136</v>
      </c>
      <c r="B642" s="6" t="s">
        <v>283</v>
      </c>
    </row>
    <row r="643" spans="1:2">
      <c r="A643" s="5">
        <v>1137</v>
      </c>
      <c r="B643" s="6" t="s">
        <v>860</v>
      </c>
    </row>
    <row r="644" spans="1:2">
      <c r="A644" s="5">
        <v>1138</v>
      </c>
      <c r="B644" s="6" t="s">
        <v>564</v>
      </c>
    </row>
    <row r="645" spans="1:2" ht="30">
      <c r="A645" s="5">
        <v>1139</v>
      </c>
      <c r="B645" s="6" t="s">
        <v>562</v>
      </c>
    </row>
    <row r="646" spans="1:2">
      <c r="A646" s="5">
        <v>1140</v>
      </c>
      <c r="B646" s="6" t="s">
        <v>565</v>
      </c>
    </row>
    <row r="647" spans="1:2" ht="30">
      <c r="A647" s="5">
        <v>1141</v>
      </c>
      <c r="B647" s="6" t="s">
        <v>555</v>
      </c>
    </row>
    <row r="648" spans="1:2">
      <c r="A648" s="5">
        <v>1142</v>
      </c>
      <c r="B648" s="6" t="s">
        <v>282</v>
      </c>
    </row>
    <row r="649" spans="1:2" ht="30">
      <c r="A649" s="5">
        <v>1143</v>
      </c>
      <c r="B649" s="6" t="s">
        <v>568</v>
      </c>
    </row>
    <row r="650" spans="1:2">
      <c r="A650" s="5">
        <v>1145</v>
      </c>
      <c r="B650" s="6" t="s">
        <v>284</v>
      </c>
    </row>
    <row r="651" spans="1:2">
      <c r="A651" s="5">
        <v>1146</v>
      </c>
      <c r="B651" s="6" t="s">
        <v>572</v>
      </c>
    </row>
    <row r="652" spans="1:2">
      <c r="A652" s="5">
        <v>1147</v>
      </c>
      <c r="B652" s="6" t="s">
        <v>945</v>
      </c>
    </row>
    <row r="653" spans="1:2">
      <c r="A653" s="5">
        <v>1150</v>
      </c>
      <c r="B653" s="6" t="s">
        <v>1005</v>
      </c>
    </row>
    <row r="654" spans="1:2">
      <c r="A654" s="5">
        <v>1151</v>
      </c>
      <c r="B654" s="6" t="s">
        <v>262</v>
      </c>
    </row>
    <row r="655" spans="1:2">
      <c r="A655" s="5">
        <v>1152</v>
      </c>
      <c r="B655" s="6" t="s">
        <v>257</v>
      </c>
    </row>
    <row r="656" spans="1:2">
      <c r="A656" s="5">
        <v>1153</v>
      </c>
      <c r="B656" s="6" t="s">
        <v>256</v>
      </c>
    </row>
    <row r="657" spans="1:2">
      <c r="A657" s="5">
        <v>1154</v>
      </c>
      <c r="B657" s="6" t="s">
        <v>599</v>
      </c>
    </row>
    <row r="658" spans="1:2">
      <c r="A658" s="5">
        <v>1156</v>
      </c>
      <c r="B658" s="6" t="s">
        <v>904</v>
      </c>
    </row>
    <row r="659" spans="1:2">
      <c r="A659" s="5">
        <v>1157</v>
      </c>
      <c r="B659" s="6" t="s">
        <v>1014</v>
      </c>
    </row>
    <row r="660" spans="1:2">
      <c r="A660" s="5">
        <v>1158</v>
      </c>
      <c r="B660" s="6" t="s">
        <v>1070</v>
      </c>
    </row>
    <row r="661" spans="1:2">
      <c r="A661" s="5">
        <v>1159</v>
      </c>
      <c r="B661" s="6" t="s">
        <v>584</v>
      </c>
    </row>
    <row r="662" spans="1:2">
      <c r="A662" s="5">
        <v>1160</v>
      </c>
      <c r="B662" s="6" t="s">
        <v>585</v>
      </c>
    </row>
    <row r="663" spans="1:2">
      <c r="A663" s="5">
        <v>1161</v>
      </c>
      <c r="B663" s="6" t="s">
        <v>996</v>
      </c>
    </row>
    <row r="664" spans="1:2">
      <c r="A664" s="5">
        <v>1163</v>
      </c>
      <c r="B664" s="6" t="s">
        <v>1146</v>
      </c>
    </row>
    <row r="665" spans="1:2">
      <c r="A665" s="5">
        <v>1164</v>
      </c>
      <c r="B665" s="6" t="s">
        <v>1147</v>
      </c>
    </row>
    <row r="666" spans="1:2" ht="30">
      <c r="A666" s="5">
        <v>1165</v>
      </c>
      <c r="B666" s="6" t="s">
        <v>1154</v>
      </c>
    </row>
    <row r="667" spans="1:2">
      <c r="A667" s="5">
        <v>1166</v>
      </c>
      <c r="B667" s="6" t="s">
        <v>1138</v>
      </c>
    </row>
    <row r="668" spans="1:2">
      <c r="A668" s="5">
        <v>1167</v>
      </c>
      <c r="B668" s="6" t="s">
        <v>960</v>
      </c>
    </row>
    <row r="669" spans="1:2">
      <c r="A669" s="5">
        <v>1168</v>
      </c>
      <c r="B669" s="6" t="s">
        <v>671</v>
      </c>
    </row>
    <row r="670" spans="1:2" ht="30">
      <c r="A670" s="5">
        <v>1169</v>
      </c>
      <c r="B670" s="6" t="s">
        <v>1136</v>
      </c>
    </row>
    <row r="671" spans="1:2" ht="30">
      <c r="A671" s="5">
        <v>1171</v>
      </c>
      <c r="B671" s="6" t="s">
        <v>558</v>
      </c>
    </row>
    <row r="672" spans="1:2">
      <c r="A672" s="5">
        <v>1172</v>
      </c>
      <c r="B672" s="6" t="s">
        <v>574</v>
      </c>
    </row>
    <row r="673" spans="1:2" ht="30">
      <c r="A673" s="5">
        <v>1173</v>
      </c>
      <c r="B673" s="6" t="s">
        <v>858</v>
      </c>
    </row>
    <row r="674" spans="1:2">
      <c r="A674" s="5">
        <v>1174</v>
      </c>
      <c r="B674" s="6" t="s">
        <v>279</v>
      </c>
    </row>
    <row r="675" spans="1:2">
      <c r="A675" s="5">
        <v>1175</v>
      </c>
      <c r="B675" s="6" t="s">
        <v>281</v>
      </c>
    </row>
    <row r="676" spans="1:2">
      <c r="A676" s="5">
        <v>1176</v>
      </c>
      <c r="B676" s="6" t="s">
        <v>57</v>
      </c>
    </row>
    <row r="677" spans="1:2">
      <c r="A677" s="5">
        <v>1177</v>
      </c>
      <c r="B677" s="6" t="s">
        <v>285</v>
      </c>
    </row>
    <row r="678" spans="1:2">
      <c r="A678" s="5">
        <v>1179</v>
      </c>
      <c r="B678" s="6" t="s">
        <v>560</v>
      </c>
    </row>
    <row r="679" spans="1:2">
      <c r="A679" s="5">
        <v>1180</v>
      </c>
      <c r="B679" s="6" t="s">
        <v>561</v>
      </c>
    </row>
    <row r="680" spans="1:2">
      <c r="A680" s="5">
        <v>1181</v>
      </c>
      <c r="B680" s="6" t="s">
        <v>387</v>
      </c>
    </row>
    <row r="681" spans="1:2">
      <c r="A681" s="5">
        <v>1182</v>
      </c>
      <c r="B681" s="6" t="s">
        <v>942</v>
      </c>
    </row>
    <row r="682" spans="1:2">
      <c r="A682" s="5">
        <v>1183</v>
      </c>
      <c r="B682" s="6" t="s">
        <v>89</v>
      </c>
    </row>
    <row r="683" spans="1:2">
      <c r="A683" s="5">
        <v>1184</v>
      </c>
      <c r="B683" s="6" t="s">
        <v>278</v>
      </c>
    </row>
    <row r="684" spans="1:2">
      <c r="A684" s="5">
        <v>1185</v>
      </c>
      <c r="B684" s="6" t="s">
        <v>975</v>
      </c>
    </row>
    <row r="685" spans="1:2">
      <c r="A685" s="5">
        <v>1186</v>
      </c>
      <c r="B685" s="6" t="s">
        <v>976</v>
      </c>
    </row>
    <row r="686" spans="1:2">
      <c r="A686" s="5">
        <v>1187</v>
      </c>
      <c r="B686" s="6" t="s">
        <v>280</v>
      </c>
    </row>
    <row r="687" spans="1:2">
      <c r="A687" s="5">
        <v>1188</v>
      </c>
      <c r="B687" s="6" t="s">
        <v>974</v>
      </c>
    </row>
    <row r="688" spans="1:2">
      <c r="A688" s="5">
        <v>1189</v>
      </c>
      <c r="B688" s="6" t="s">
        <v>977</v>
      </c>
    </row>
    <row r="689" spans="1:2">
      <c r="A689" s="5">
        <v>1190</v>
      </c>
      <c r="B689" s="6" t="s">
        <v>978</v>
      </c>
    </row>
    <row r="690" spans="1:2">
      <c r="A690" s="5">
        <v>1191</v>
      </c>
      <c r="B690" s="6" t="s">
        <v>277</v>
      </c>
    </row>
    <row r="691" spans="1:2" ht="30">
      <c r="A691" s="5">
        <v>1192</v>
      </c>
      <c r="B691" s="6" t="s">
        <v>843</v>
      </c>
    </row>
    <row r="692" spans="1:2">
      <c r="A692" s="5">
        <v>1203</v>
      </c>
      <c r="B692" s="6" t="s">
        <v>955</v>
      </c>
    </row>
    <row r="693" spans="1:2">
      <c r="A693" s="5">
        <v>1205</v>
      </c>
      <c r="B693" s="6" t="s">
        <v>1144</v>
      </c>
    </row>
    <row r="694" spans="1:2">
      <c r="A694" s="5">
        <v>1206</v>
      </c>
      <c r="B694" s="6" t="s">
        <v>947</v>
      </c>
    </row>
    <row r="695" spans="1:2" ht="30">
      <c r="A695" s="5">
        <v>1211</v>
      </c>
      <c r="B695" s="6" t="s">
        <v>950</v>
      </c>
    </row>
    <row r="696" spans="1:2">
      <c r="A696" s="5">
        <v>1212</v>
      </c>
      <c r="B696" s="6" t="s">
        <v>956</v>
      </c>
    </row>
    <row r="697" spans="1:2" ht="30">
      <c r="A697" s="5">
        <v>1213</v>
      </c>
      <c r="B697" s="6" t="s">
        <v>557</v>
      </c>
    </row>
    <row r="698" spans="1:2">
      <c r="A698" s="5">
        <v>1214</v>
      </c>
      <c r="B698" s="6" t="s">
        <v>583</v>
      </c>
    </row>
    <row r="699" spans="1:2">
      <c r="A699" s="5">
        <v>1215</v>
      </c>
      <c r="B699" s="6" t="s">
        <v>953</v>
      </c>
    </row>
    <row r="700" spans="1:2">
      <c r="A700" s="5">
        <v>1216</v>
      </c>
      <c r="B700" s="6" t="s">
        <v>910</v>
      </c>
    </row>
    <row r="701" spans="1:2">
      <c r="A701" s="5">
        <v>1222</v>
      </c>
      <c r="B701" s="6" t="s">
        <v>803</v>
      </c>
    </row>
    <row r="702" spans="1:2">
      <c r="A702" s="5">
        <v>1223</v>
      </c>
      <c r="B702" s="6" t="s">
        <v>1049</v>
      </c>
    </row>
    <row r="703" spans="1:2" ht="30">
      <c r="A703" s="5">
        <v>1225</v>
      </c>
      <c r="B703" s="6" t="s">
        <v>195</v>
      </c>
    </row>
    <row r="704" spans="1:2">
      <c r="A704" s="5">
        <v>1226</v>
      </c>
      <c r="B704" s="6" t="s">
        <v>198</v>
      </c>
    </row>
    <row r="705" spans="1:2">
      <c r="A705" s="5">
        <v>1227</v>
      </c>
      <c r="B705" s="6" t="s">
        <v>571</v>
      </c>
    </row>
    <row r="706" spans="1:2">
      <c r="A706" s="5">
        <v>1229</v>
      </c>
      <c r="B706" s="6" t="s">
        <v>575</v>
      </c>
    </row>
    <row r="707" spans="1:2">
      <c r="A707" s="5">
        <v>1239</v>
      </c>
      <c r="B707" s="6" t="s">
        <v>570</v>
      </c>
    </row>
    <row r="708" spans="1:2">
      <c r="A708" s="5">
        <v>1240</v>
      </c>
      <c r="B708" s="6" t="s">
        <v>563</v>
      </c>
    </row>
    <row r="709" spans="1:2">
      <c r="A709" s="5">
        <v>1241</v>
      </c>
      <c r="B709" s="6" t="s">
        <v>569</v>
      </c>
    </row>
    <row r="710" spans="1:2">
      <c r="A710" s="5">
        <v>1242</v>
      </c>
      <c r="B710" s="6" t="s">
        <v>566</v>
      </c>
    </row>
    <row r="711" spans="1:2">
      <c r="A711" s="5">
        <v>1243</v>
      </c>
      <c r="B711" s="6" t="s">
        <v>196</v>
      </c>
    </row>
    <row r="712" spans="1:2">
      <c r="A712" s="5">
        <v>1250</v>
      </c>
      <c r="B712" s="6" t="s">
        <v>817</v>
      </c>
    </row>
    <row r="713" spans="1:2">
      <c r="A713" s="5">
        <v>1251</v>
      </c>
      <c r="B713" s="6" t="s">
        <v>731</v>
      </c>
    </row>
    <row r="714" spans="1:2">
      <c r="A714" s="5">
        <v>1253</v>
      </c>
      <c r="B714" s="6" t="s">
        <v>170</v>
      </c>
    </row>
    <row r="715" spans="1:2">
      <c r="A715" s="5">
        <v>1257</v>
      </c>
      <c r="B715" s="6" t="s">
        <v>783</v>
      </c>
    </row>
    <row r="716" spans="1:2">
      <c r="A716" s="5">
        <v>1258</v>
      </c>
      <c r="B716" s="6" t="s">
        <v>492</v>
      </c>
    </row>
    <row r="717" spans="1:2" ht="30">
      <c r="A717" s="5">
        <v>1259</v>
      </c>
      <c r="B717" s="6" t="s">
        <v>886</v>
      </c>
    </row>
    <row r="718" spans="1:2" ht="30">
      <c r="A718" s="5">
        <v>1260</v>
      </c>
      <c r="B718" s="6" t="s">
        <v>882</v>
      </c>
    </row>
    <row r="719" spans="1:2">
      <c r="A719" s="5">
        <v>1261</v>
      </c>
      <c r="B719" s="6" t="s">
        <v>80</v>
      </c>
    </row>
    <row r="720" spans="1:2">
      <c r="A720" s="5">
        <v>1262</v>
      </c>
      <c r="B720" s="6" t="s">
        <v>525</v>
      </c>
    </row>
    <row r="721" spans="1:2">
      <c r="A721" s="5">
        <v>1263</v>
      </c>
      <c r="B721" s="6" t="s">
        <v>524</v>
      </c>
    </row>
    <row r="722" spans="1:2">
      <c r="A722" s="5">
        <v>1267</v>
      </c>
      <c r="B722" s="6" t="s">
        <v>655</v>
      </c>
    </row>
    <row r="723" spans="1:2">
      <c r="A723" s="5">
        <v>1268</v>
      </c>
      <c r="B723" s="6" t="s">
        <v>590</v>
      </c>
    </row>
    <row r="724" spans="1:2">
      <c r="A724" s="5">
        <v>1269</v>
      </c>
      <c r="B724" s="6" t="s">
        <v>587</v>
      </c>
    </row>
    <row r="725" spans="1:2">
      <c r="A725" s="5">
        <v>1270</v>
      </c>
      <c r="B725" s="6" t="s">
        <v>588</v>
      </c>
    </row>
    <row r="726" spans="1:2">
      <c r="A726" s="5">
        <v>1271</v>
      </c>
      <c r="B726" s="6" t="s">
        <v>589</v>
      </c>
    </row>
    <row r="727" spans="1:2">
      <c r="A727" s="5">
        <v>1272</v>
      </c>
      <c r="B727" s="6" t="s">
        <v>313</v>
      </c>
    </row>
    <row r="728" spans="1:2" ht="30">
      <c r="A728" s="5">
        <v>1278</v>
      </c>
      <c r="B728" s="6" t="s">
        <v>629</v>
      </c>
    </row>
    <row r="729" spans="1:2">
      <c r="A729" s="5">
        <v>1281</v>
      </c>
      <c r="B729" s="6" t="s">
        <v>586</v>
      </c>
    </row>
    <row r="730" spans="1:2">
      <c r="A730" s="5">
        <v>1283</v>
      </c>
      <c r="B730" s="6" t="s">
        <v>609</v>
      </c>
    </row>
    <row r="731" spans="1:2">
      <c r="A731" s="5">
        <v>1288</v>
      </c>
      <c r="B731" s="6" t="s">
        <v>954</v>
      </c>
    </row>
    <row r="732" spans="1:2">
      <c r="A732" s="5">
        <v>1289</v>
      </c>
      <c r="B732" s="6" t="s">
        <v>1113</v>
      </c>
    </row>
    <row r="733" spans="1:2">
      <c r="A733" s="5">
        <v>1293</v>
      </c>
      <c r="B733" s="6" t="s">
        <v>912</v>
      </c>
    </row>
    <row r="734" spans="1:2">
      <c r="A734" s="5">
        <v>1294</v>
      </c>
      <c r="B734" s="6" t="s">
        <v>116</v>
      </c>
    </row>
    <row r="735" spans="1:2">
      <c r="A735" s="5">
        <v>1295</v>
      </c>
      <c r="B735" s="6" t="s">
        <v>967</v>
      </c>
    </row>
    <row r="736" spans="1:2">
      <c r="A736" s="5">
        <v>1296</v>
      </c>
      <c r="B736" s="6" t="s">
        <v>968</v>
      </c>
    </row>
    <row r="737" spans="1:2">
      <c r="A737" s="5">
        <v>1302</v>
      </c>
      <c r="B737" s="6" t="s">
        <v>513</v>
      </c>
    </row>
    <row r="738" spans="1:2">
      <c r="A738" s="5">
        <v>1304</v>
      </c>
      <c r="B738" s="6" t="s">
        <v>1010</v>
      </c>
    </row>
    <row r="739" spans="1:2">
      <c r="A739" s="5">
        <v>1309</v>
      </c>
      <c r="B739" s="6" t="s">
        <v>972</v>
      </c>
    </row>
    <row r="740" spans="1:2" ht="30">
      <c r="A740" s="5">
        <v>1312</v>
      </c>
      <c r="B740" s="6" t="s">
        <v>712</v>
      </c>
    </row>
    <row r="741" spans="1:2">
      <c r="A741" s="5">
        <v>1315</v>
      </c>
      <c r="B741" s="6" t="s">
        <v>672</v>
      </c>
    </row>
    <row r="742" spans="1:2">
      <c r="A742" s="5">
        <v>1316</v>
      </c>
      <c r="B742" s="6" t="s">
        <v>534</v>
      </c>
    </row>
    <row r="743" spans="1:2">
      <c r="A743" s="5">
        <v>1317</v>
      </c>
      <c r="B743" s="6" t="s">
        <v>1135</v>
      </c>
    </row>
    <row r="744" spans="1:2">
      <c r="A744" s="5">
        <v>1318</v>
      </c>
      <c r="B744" s="6" t="s">
        <v>1134</v>
      </c>
    </row>
    <row r="745" spans="1:2">
      <c r="A745" s="5">
        <v>1319</v>
      </c>
      <c r="B745" s="6" t="s">
        <v>275</v>
      </c>
    </row>
    <row r="746" spans="1:2">
      <c r="A746" s="5">
        <v>1320</v>
      </c>
      <c r="B746" s="6" t="s">
        <v>969</v>
      </c>
    </row>
    <row r="747" spans="1:2">
      <c r="A747" s="5">
        <v>1322</v>
      </c>
      <c r="B747" s="6" t="s">
        <v>383</v>
      </c>
    </row>
    <row r="748" spans="1:2">
      <c r="A748" s="5">
        <v>1324</v>
      </c>
      <c r="B748" s="6" t="s">
        <v>31</v>
      </c>
    </row>
    <row r="749" spans="1:2">
      <c r="A749" s="5">
        <v>1325</v>
      </c>
      <c r="B749" s="6" t="s">
        <v>173</v>
      </c>
    </row>
    <row r="750" spans="1:2">
      <c r="A750" s="5">
        <v>1326</v>
      </c>
      <c r="B750" s="6" t="s">
        <v>33</v>
      </c>
    </row>
    <row r="751" spans="1:2">
      <c r="A751" s="5">
        <v>1334</v>
      </c>
      <c r="B751" s="6" t="s">
        <v>849</v>
      </c>
    </row>
    <row r="752" spans="1:2">
      <c r="A752" s="5">
        <v>1337</v>
      </c>
      <c r="B752" s="6" t="s">
        <v>853</v>
      </c>
    </row>
    <row r="753" spans="1:2">
      <c r="A753" s="5">
        <v>1338</v>
      </c>
      <c r="B753" s="6" t="s">
        <v>30</v>
      </c>
    </row>
    <row r="754" spans="1:2">
      <c r="A754" s="5">
        <v>1345</v>
      </c>
      <c r="B754" s="6" t="s">
        <v>180</v>
      </c>
    </row>
    <row r="755" spans="1:2" ht="30">
      <c r="A755" s="5">
        <v>1346</v>
      </c>
      <c r="B755" s="6" t="s">
        <v>16</v>
      </c>
    </row>
    <row r="756" spans="1:2">
      <c r="A756" s="5">
        <v>1347</v>
      </c>
      <c r="B756" s="6" t="s">
        <v>1149</v>
      </c>
    </row>
    <row r="757" spans="1:2">
      <c r="A757" s="5">
        <v>1348</v>
      </c>
      <c r="B757" s="6" t="s">
        <v>1155</v>
      </c>
    </row>
    <row r="758" spans="1:2">
      <c r="A758" s="5">
        <v>1349</v>
      </c>
      <c r="B758" s="6" t="s">
        <v>1142</v>
      </c>
    </row>
    <row r="759" spans="1:2">
      <c r="A759" s="5">
        <v>1350</v>
      </c>
      <c r="B759" s="6" t="s">
        <v>50</v>
      </c>
    </row>
    <row r="760" spans="1:2" ht="30">
      <c r="A760" s="5">
        <v>1351</v>
      </c>
      <c r="B760" s="6" t="s">
        <v>1141</v>
      </c>
    </row>
    <row r="761" spans="1:2">
      <c r="A761" s="5">
        <v>1352</v>
      </c>
      <c r="B761" s="6" t="s">
        <v>246</v>
      </c>
    </row>
    <row r="762" spans="1:2">
      <c r="A762" s="5">
        <v>1353</v>
      </c>
      <c r="B762" s="6" t="s">
        <v>194</v>
      </c>
    </row>
    <row r="763" spans="1:2">
      <c r="A763" s="5">
        <v>1354</v>
      </c>
      <c r="B763" s="6" t="s">
        <v>601</v>
      </c>
    </row>
    <row r="764" spans="1:2">
      <c r="A764" s="5">
        <v>1357</v>
      </c>
      <c r="B764" s="6" t="s">
        <v>1158</v>
      </c>
    </row>
    <row r="765" spans="1:2">
      <c r="A765" s="5">
        <v>1358</v>
      </c>
      <c r="B765" s="6" t="s">
        <v>644</v>
      </c>
    </row>
    <row r="766" spans="1:2">
      <c r="A766" s="5">
        <v>1359</v>
      </c>
      <c r="B766" s="6" t="s">
        <v>645</v>
      </c>
    </row>
    <row r="767" spans="1:2" ht="30">
      <c r="A767" s="5">
        <v>1361</v>
      </c>
      <c r="B767" s="6" t="s">
        <v>167</v>
      </c>
    </row>
    <row r="768" spans="1:2">
      <c r="A768" s="5">
        <v>1362</v>
      </c>
      <c r="B768" s="6" t="s">
        <v>47</v>
      </c>
    </row>
    <row r="769" spans="1:2">
      <c r="A769" s="5">
        <v>1366</v>
      </c>
      <c r="B769" s="6" t="s">
        <v>1012</v>
      </c>
    </row>
    <row r="770" spans="1:2">
      <c r="A770" s="5">
        <v>1370</v>
      </c>
      <c r="B770" s="6" t="s">
        <v>630</v>
      </c>
    </row>
    <row r="771" spans="1:2">
      <c r="A771" s="5">
        <v>1371</v>
      </c>
      <c r="B771" s="6" t="s">
        <v>632</v>
      </c>
    </row>
    <row r="772" spans="1:2">
      <c r="A772" s="5">
        <v>1372</v>
      </c>
      <c r="B772" s="6" t="s">
        <v>631</v>
      </c>
    </row>
    <row r="773" spans="1:2">
      <c r="A773" s="5">
        <v>1373</v>
      </c>
      <c r="B773" s="6" t="s">
        <v>9</v>
      </c>
    </row>
    <row r="774" spans="1:2">
      <c r="A774" s="5">
        <v>1374</v>
      </c>
      <c r="B774" s="6" t="s">
        <v>12</v>
      </c>
    </row>
    <row r="775" spans="1:2">
      <c r="A775" s="5">
        <v>1375</v>
      </c>
      <c r="B775" s="6" t="s">
        <v>15</v>
      </c>
    </row>
    <row r="776" spans="1:2">
      <c r="A776" s="5">
        <v>1376</v>
      </c>
      <c r="B776" s="6" t="s">
        <v>10</v>
      </c>
    </row>
    <row r="777" spans="1:2">
      <c r="A777" s="5">
        <v>1377</v>
      </c>
      <c r="B777" s="6" t="s">
        <v>11</v>
      </c>
    </row>
    <row r="778" spans="1:2">
      <c r="A778" s="5">
        <v>1378</v>
      </c>
      <c r="B778" s="6" t="s">
        <v>13</v>
      </c>
    </row>
    <row r="779" spans="1:2">
      <c r="A779" s="5">
        <v>1379</v>
      </c>
      <c r="B779" s="6" t="s">
        <v>14</v>
      </c>
    </row>
    <row r="780" spans="1:2" ht="30">
      <c r="A780" s="5">
        <v>1383</v>
      </c>
      <c r="B780" s="6" t="s">
        <v>1071</v>
      </c>
    </row>
    <row r="781" spans="1:2">
      <c r="A781" s="5">
        <v>1384</v>
      </c>
      <c r="B781" s="6" t="s">
        <v>189</v>
      </c>
    </row>
    <row r="782" spans="1:2">
      <c r="A782" s="5">
        <v>1385</v>
      </c>
      <c r="B782" s="6" t="s">
        <v>714</v>
      </c>
    </row>
    <row r="783" spans="1:2">
      <c r="A783" s="5">
        <v>1386</v>
      </c>
      <c r="B783" s="6" t="s">
        <v>158</v>
      </c>
    </row>
    <row r="784" spans="1:2">
      <c r="A784" s="5">
        <v>1387</v>
      </c>
      <c r="B784" s="6" t="s">
        <v>552</v>
      </c>
    </row>
    <row r="785" spans="1:2">
      <c r="A785" s="5">
        <v>1389</v>
      </c>
      <c r="B785" s="6" t="s">
        <v>1116</v>
      </c>
    </row>
    <row r="786" spans="1:2" ht="30">
      <c r="A786" s="5">
        <v>1392</v>
      </c>
      <c r="B786" s="6" t="s">
        <v>1171</v>
      </c>
    </row>
    <row r="787" spans="1:2">
      <c r="A787" s="5">
        <v>1393</v>
      </c>
      <c r="B787" s="6" t="s">
        <v>1172</v>
      </c>
    </row>
    <row r="788" spans="1:2">
      <c r="A788" s="5">
        <v>1394</v>
      </c>
      <c r="B788" s="6" t="s">
        <v>808</v>
      </c>
    </row>
    <row r="789" spans="1:2" ht="30">
      <c r="A789" s="5">
        <v>1395</v>
      </c>
      <c r="B789" s="6" t="s">
        <v>1032</v>
      </c>
    </row>
    <row r="790" spans="1:2" ht="30">
      <c r="A790" s="5">
        <v>1396</v>
      </c>
      <c r="B790" s="6" t="s">
        <v>961</v>
      </c>
    </row>
    <row r="791" spans="1:2" ht="30">
      <c r="A791" s="5">
        <v>1397</v>
      </c>
      <c r="B791" s="6" t="s">
        <v>626</v>
      </c>
    </row>
    <row r="792" spans="1:2">
      <c r="A792" s="5">
        <v>1398</v>
      </c>
      <c r="B792" s="6" t="s">
        <v>614</v>
      </c>
    </row>
    <row r="793" spans="1:2">
      <c r="A793" s="5">
        <v>1399</v>
      </c>
      <c r="B793" s="6" t="s">
        <v>727</v>
      </c>
    </row>
    <row r="794" spans="1:2">
      <c r="A794" s="5">
        <v>1400</v>
      </c>
      <c r="B794" s="6" t="s">
        <v>602</v>
      </c>
    </row>
    <row r="795" spans="1:2" ht="30">
      <c r="A795" s="5">
        <v>1401</v>
      </c>
      <c r="B795" s="6" t="s">
        <v>39</v>
      </c>
    </row>
    <row r="796" spans="1:2" ht="30">
      <c r="A796" s="5">
        <v>1402</v>
      </c>
      <c r="B796" s="6" t="s">
        <v>40</v>
      </c>
    </row>
    <row r="797" spans="1:2">
      <c r="A797" s="5">
        <v>1403</v>
      </c>
      <c r="B797" s="6" t="s">
        <v>773</v>
      </c>
    </row>
    <row r="798" spans="1:2">
      <c r="A798" s="5">
        <v>1404</v>
      </c>
      <c r="B798" s="6" t="s">
        <v>653</v>
      </c>
    </row>
    <row r="799" spans="1:2">
      <c r="A799" s="5">
        <v>1405</v>
      </c>
      <c r="B799" s="6" t="s">
        <v>149</v>
      </c>
    </row>
    <row r="800" spans="1:2">
      <c r="A800" s="5">
        <v>1406</v>
      </c>
      <c r="B800" s="6" t="s">
        <v>518</v>
      </c>
    </row>
    <row r="801" spans="1:2">
      <c r="A801" s="5">
        <v>1407</v>
      </c>
      <c r="B801" s="6" t="s">
        <v>726</v>
      </c>
    </row>
    <row r="802" spans="1:2">
      <c r="A802" s="5">
        <v>1408</v>
      </c>
      <c r="B802" s="6" t="s">
        <v>613</v>
      </c>
    </row>
    <row r="803" spans="1:2">
      <c r="A803" s="5">
        <v>1409</v>
      </c>
      <c r="B803" s="6" t="s">
        <v>115</v>
      </c>
    </row>
    <row r="804" spans="1:2">
      <c r="A804" s="5">
        <v>1410</v>
      </c>
      <c r="B804" s="6" t="s">
        <v>1175</v>
      </c>
    </row>
    <row r="805" spans="1:2">
      <c r="A805" s="5">
        <v>1411</v>
      </c>
      <c r="B805" s="6" t="s">
        <v>593</v>
      </c>
    </row>
    <row r="806" spans="1:2">
      <c r="A806" s="5">
        <v>1412</v>
      </c>
      <c r="B806" s="6" t="s">
        <v>591</v>
      </c>
    </row>
    <row r="807" spans="1:2">
      <c r="A807" s="5">
        <v>1414</v>
      </c>
      <c r="B807" s="6" t="s">
        <v>1162</v>
      </c>
    </row>
    <row r="808" spans="1:2">
      <c r="A808" s="5">
        <v>1415</v>
      </c>
      <c r="B808" s="6" t="s">
        <v>992</v>
      </c>
    </row>
    <row r="809" spans="1:2">
      <c r="A809" s="5">
        <v>1416</v>
      </c>
      <c r="B809" s="6" t="s">
        <v>993</v>
      </c>
    </row>
    <row r="810" spans="1:2">
      <c r="A810" s="5">
        <v>1417</v>
      </c>
      <c r="B810" s="6" t="s">
        <v>214</v>
      </c>
    </row>
    <row r="811" spans="1:2" ht="45">
      <c r="A811" s="5">
        <v>1426</v>
      </c>
      <c r="B811" s="6" t="s">
        <v>254</v>
      </c>
    </row>
    <row r="812" spans="1:2" ht="45">
      <c r="A812" s="5">
        <v>1427</v>
      </c>
      <c r="B812" s="6" t="s">
        <v>255</v>
      </c>
    </row>
    <row r="813" spans="1:2">
      <c r="A813" s="5">
        <v>1428</v>
      </c>
      <c r="B813" s="6" t="s">
        <v>743</v>
      </c>
    </row>
    <row r="814" spans="1:2">
      <c r="A814" s="5">
        <v>1429</v>
      </c>
      <c r="B814" s="6" t="s">
        <v>709</v>
      </c>
    </row>
    <row r="815" spans="1:2">
      <c r="A815" s="5">
        <v>1431</v>
      </c>
      <c r="B815" s="6" t="s">
        <v>707</v>
      </c>
    </row>
    <row r="816" spans="1:2">
      <c r="A816" s="5">
        <v>1432</v>
      </c>
      <c r="B816" s="6" t="s">
        <v>708</v>
      </c>
    </row>
    <row r="817" spans="1:2">
      <c r="A817" s="5">
        <v>1433</v>
      </c>
      <c r="B817" s="6" t="s">
        <v>711</v>
      </c>
    </row>
    <row r="818" spans="1:2">
      <c r="A818" s="5">
        <v>1434</v>
      </c>
      <c r="B818" s="6" t="s">
        <v>200</v>
      </c>
    </row>
    <row r="819" spans="1:2">
      <c r="A819" s="5">
        <v>1435</v>
      </c>
      <c r="B819" s="6" t="s">
        <v>201</v>
      </c>
    </row>
    <row r="820" spans="1:2" ht="30">
      <c r="A820" s="5">
        <v>1437</v>
      </c>
      <c r="B820" s="6" t="s">
        <v>107</v>
      </c>
    </row>
    <row r="821" spans="1:2" ht="30">
      <c r="A821" s="5">
        <v>1438</v>
      </c>
      <c r="B821" s="6" t="s">
        <v>99</v>
      </c>
    </row>
    <row r="822" spans="1:2" ht="30">
      <c r="A822" s="5">
        <v>1439</v>
      </c>
      <c r="B822" s="6" t="s">
        <v>106</v>
      </c>
    </row>
    <row r="823" spans="1:2" ht="30">
      <c r="A823" s="5">
        <v>1440</v>
      </c>
      <c r="B823" s="6" t="s">
        <v>105</v>
      </c>
    </row>
    <row r="824" spans="1:2" ht="30">
      <c r="A824" s="5">
        <v>1441</v>
      </c>
      <c r="B824" s="6" t="s">
        <v>101</v>
      </c>
    </row>
    <row r="825" spans="1:2" ht="30">
      <c r="A825" s="5">
        <v>1442</v>
      </c>
      <c r="B825" s="6" t="s">
        <v>100</v>
      </c>
    </row>
    <row r="826" spans="1:2">
      <c r="A826" s="5">
        <v>1443</v>
      </c>
      <c r="B826" s="6" t="s">
        <v>102</v>
      </c>
    </row>
    <row r="827" spans="1:2">
      <c r="A827" s="5">
        <v>1444</v>
      </c>
      <c r="B827" s="6" t="s">
        <v>103</v>
      </c>
    </row>
    <row r="828" spans="1:2" ht="30">
      <c r="A828" s="5">
        <v>1445</v>
      </c>
      <c r="B828" s="6" t="s">
        <v>96</v>
      </c>
    </row>
    <row r="829" spans="1:2" ht="30">
      <c r="A829" s="5">
        <v>1446</v>
      </c>
      <c r="B829" s="6" t="s">
        <v>97</v>
      </c>
    </row>
    <row r="830" spans="1:2" ht="30">
      <c r="A830" s="5">
        <v>1447</v>
      </c>
      <c r="B830" s="6" t="s">
        <v>104</v>
      </c>
    </row>
    <row r="831" spans="1:2" ht="30">
      <c r="A831" s="5">
        <v>1448</v>
      </c>
      <c r="B831" s="6" t="s">
        <v>98</v>
      </c>
    </row>
    <row r="832" spans="1:2">
      <c r="A832" s="5">
        <v>1449</v>
      </c>
      <c r="B832" s="6" t="s">
        <v>359</v>
      </c>
    </row>
    <row r="833" spans="1:2" ht="30">
      <c r="A833" s="5">
        <v>1451</v>
      </c>
      <c r="B833" s="6" t="s">
        <v>67</v>
      </c>
    </row>
    <row r="834" spans="1:2" ht="30">
      <c r="A834" s="5">
        <v>1452</v>
      </c>
      <c r="B834" s="6" t="s">
        <v>69</v>
      </c>
    </row>
    <row r="835" spans="1:2">
      <c r="A835" s="5">
        <v>1453</v>
      </c>
      <c r="B835" s="6" t="s">
        <v>774</v>
      </c>
    </row>
    <row r="836" spans="1:2">
      <c r="A836" s="5">
        <v>1454</v>
      </c>
      <c r="B836" s="6" t="s">
        <v>63</v>
      </c>
    </row>
    <row r="837" spans="1:2">
      <c r="A837" s="5">
        <v>1455</v>
      </c>
      <c r="B837" s="6" t="s">
        <v>377</v>
      </c>
    </row>
    <row r="838" spans="1:2">
      <c r="A838" s="5">
        <v>1456</v>
      </c>
      <c r="B838" s="6" t="s">
        <v>679</v>
      </c>
    </row>
    <row r="839" spans="1:2" ht="30">
      <c r="A839" s="5">
        <v>1457</v>
      </c>
      <c r="B839" s="6" t="s">
        <v>68</v>
      </c>
    </row>
    <row r="840" spans="1:2">
      <c r="A840" s="5">
        <v>1460</v>
      </c>
      <c r="B840" s="6" t="s">
        <v>166</v>
      </c>
    </row>
    <row r="841" spans="1:2">
      <c r="A841" s="5">
        <v>1461</v>
      </c>
      <c r="B841" s="6" t="s">
        <v>122</v>
      </c>
    </row>
    <row r="842" spans="1:2">
      <c r="A842" s="5">
        <v>1463</v>
      </c>
      <c r="B842" s="6" t="s">
        <v>129</v>
      </c>
    </row>
    <row r="843" spans="1:2">
      <c r="A843" s="5">
        <v>1465</v>
      </c>
      <c r="B843" s="6" t="s">
        <v>130</v>
      </c>
    </row>
    <row r="844" spans="1:2">
      <c r="A844" s="5">
        <v>1466</v>
      </c>
      <c r="B844" s="6" t="s">
        <v>131</v>
      </c>
    </row>
    <row r="845" spans="1:2">
      <c r="A845" s="5">
        <v>1467</v>
      </c>
      <c r="B845" s="6" t="s">
        <v>132</v>
      </c>
    </row>
    <row r="846" spans="1:2">
      <c r="A846" s="5">
        <v>1468</v>
      </c>
      <c r="B846" s="6" t="s">
        <v>133</v>
      </c>
    </row>
    <row r="847" spans="1:2">
      <c r="A847" s="5">
        <v>1469</v>
      </c>
      <c r="B847" s="6" t="s">
        <v>134</v>
      </c>
    </row>
    <row r="848" spans="1:2">
      <c r="A848" s="5">
        <v>1470</v>
      </c>
      <c r="B848" s="6" t="s">
        <v>135</v>
      </c>
    </row>
    <row r="849" spans="1:2">
      <c r="A849" s="5">
        <v>1471</v>
      </c>
      <c r="B849" s="6" t="s">
        <v>136</v>
      </c>
    </row>
    <row r="850" spans="1:2">
      <c r="A850" s="5">
        <v>1472</v>
      </c>
      <c r="B850" s="6" t="s">
        <v>141</v>
      </c>
    </row>
    <row r="851" spans="1:2">
      <c r="A851" s="5">
        <v>1473</v>
      </c>
      <c r="B851" s="6" t="s">
        <v>144</v>
      </c>
    </row>
    <row r="852" spans="1:2">
      <c r="A852" s="5">
        <v>1475</v>
      </c>
      <c r="B852" s="6" t="s">
        <v>139</v>
      </c>
    </row>
    <row r="853" spans="1:2">
      <c r="A853" s="5">
        <v>1476</v>
      </c>
      <c r="B853" s="6" t="s">
        <v>140</v>
      </c>
    </row>
    <row r="854" spans="1:2">
      <c r="A854" s="5">
        <v>1478</v>
      </c>
      <c r="B854" s="6" t="s">
        <v>145</v>
      </c>
    </row>
    <row r="855" spans="1:2">
      <c r="A855" s="5">
        <v>1479</v>
      </c>
      <c r="B855" s="6" t="s">
        <v>147</v>
      </c>
    </row>
    <row r="856" spans="1:2">
      <c r="A856" s="5">
        <v>1483</v>
      </c>
      <c r="B856" s="6" t="s">
        <v>146</v>
      </c>
    </row>
    <row r="857" spans="1:2">
      <c r="A857" s="5">
        <v>1484</v>
      </c>
      <c r="B857" s="6" t="s">
        <v>142</v>
      </c>
    </row>
    <row r="858" spans="1:2">
      <c r="A858" s="5">
        <v>1486</v>
      </c>
      <c r="B858" s="6" t="s">
        <v>138</v>
      </c>
    </row>
    <row r="859" spans="1:2">
      <c r="A859" s="5">
        <v>1488</v>
      </c>
      <c r="B859" s="6" t="s">
        <v>143</v>
      </c>
    </row>
    <row r="860" spans="1:2">
      <c r="A860" s="5">
        <v>1490</v>
      </c>
      <c r="B860" s="6" t="s">
        <v>148</v>
      </c>
    </row>
    <row r="861" spans="1:2">
      <c r="A861" s="5">
        <v>1492</v>
      </c>
      <c r="B861" s="6" t="s">
        <v>150</v>
      </c>
    </row>
    <row r="862" spans="1:2">
      <c r="A862" s="5">
        <v>1493</v>
      </c>
      <c r="B862" s="6" t="s">
        <v>151</v>
      </c>
    </row>
    <row r="863" spans="1:2">
      <c r="A863" s="5">
        <v>1496</v>
      </c>
      <c r="B863" s="6" t="s">
        <v>152</v>
      </c>
    </row>
    <row r="864" spans="1:2">
      <c r="A864" s="5">
        <v>1499</v>
      </c>
      <c r="B864" s="6" t="s">
        <v>154</v>
      </c>
    </row>
    <row r="865" spans="1:2">
      <c r="A865" s="5">
        <v>1500</v>
      </c>
      <c r="B865" s="6" t="s">
        <v>153</v>
      </c>
    </row>
    <row r="866" spans="1:2">
      <c r="A866" s="5">
        <v>1501</v>
      </c>
      <c r="B866" s="6" t="s">
        <v>157</v>
      </c>
    </row>
    <row r="867" spans="1:2">
      <c r="A867" s="5">
        <v>1503</v>
      </c>
      <c r="B867" s="6" t="s">
        <v>156</v>
      </c>
    </row>
    <row r="868" spans="1:2">
      <c r="A868" s="5">
        <v>1506</v>
      </c>
      <c r="B868" s="6" t="s">
        <v>159</v>
      </c>
    </row>
    <row r="869" spans="1:2">
      <c r="A869" s="5">
        <v>1507</v>
      </c>
      <c r="B869" s="6" t="s">
        <v>160</v>
      </c>
    </row>
    <row r="870" spans="1:2">
      <c r="A870" s="5">
        <v>1510</v>
      </c>
      <c r="B870" s="6" t="s">
        <v>1112</v>
      </c>
    </row>
    <row r="871" spans="1:2" ht="30">
      <c r="A871" s="5">
        <v>1512</v>
      </c>
      <c r="B871" s="6" t="s">
        <v>332</v>
      </c>
    </row>
    <row r="872" spans="1:2">
      <c r="A872" s="5">
        <v>1513</v>
      </c>
      <c r="B872" s="6" t="s">
        <v>1115</v>
      </c>
    </row>
    <row r="873" spans="1:2" ht="30">
      <c r="A873" s="5">
        <v>1514</v>
      </c>
      <c r="B873" s="6" t="s">
        <v>163</v>
      </c>
    </row>
    <row r="874" spans="1:2">
      <c r="A874" s="5">
        <v>1515</v>
      </c>
      <c r="B874" s="6" t="s">
        <v>1017</v>
      </c>
    </row>
    <row r="875" spans="1:2">
      <c r="A875" s="5">
        <v>1517</v>
      </c>
      <c r="B875" s="6" t="s">
        <v>1097</v>
      </c>
    </row>
    <row r="876" spans="1:2">
      <c r="A876" s="5">
        <v>1518</v>
      </c>
      <c r="B876" s="6" t="s">
        <v>23</v>
      </c>
    </row>
    <row r="877" spans="1:2">
      <c r="A877" s="5">
        <v>1519</v>
      </c>
      <c r="B877" s="6" t="s">
        <v>1089</v>
      </c>
    </row>
    <row r="878" spans="1:2">
      <c r="A878" s="5">
        <v>1520</v>
      </c>
      <c r="B878" s="6" t="s">
        <v>53</v>
      </c>
    </row>
    <row r="879" spans="1:2">
      <c r="A879" s="5">
        <v>1521</v>
      </c>
      <c r="B879" s="6" t="s">
        <v>127</v>
      </c>
    </row>
    <row r="880" spans="1:2">
      <c r="A880" s="5">
        <v>1522</v>
      </c>
      <c r="B880" s="6" t="s">
        <v>191</v>
      </c>
    </row>
    <row r="881" spans="1:2">
      <c r="A881" s="5">
        <v>1523</v>
      </c>
      <c r="B881" s="6" t="s">
        <v>938</v>
      </c>
    </row>
    <row r="882" spans="1:2">
      <c r="A882" s="5">
        <v>1524</v>
      </c>
      <c r="B882" s="6" t="s">
        <v>42</v>
      </c>
    </row>
    <row r="883" spans="1:2">
      <c r="A883" s="5">
        <v>1525</v>
      </c>
      <c r="B883" s="6" t="s">
        <v>490</v>
      </c>
    </row>
    <row r="884" spans="1:2">
      <c r="A884" s="5">
        <v>1526</v>
      </c>
      <c r="B884" s="6" t="s">
        <v>491</v>
      </c>
    </row>
    <row r="885" spans="1:2">
      <c r="A885" s="5">
        <v>1527</v>
      </c>
      <c r="B885" s="6" t="s">
        <v>128</v>
      </c>
    </row>
    <row r="886" spans="1:2">
      <c r="A886" s="5">
        <v>1528</v>
      </c>
      <c r="B886" s="6" t="s">
        <v>228</v>
      </c>
    </row>
    <row r="887" spans="1:2">
      <c r="A887" s="5">
        <v>1529</v>
      </c>
      <c r="B887" s="6" t="s">
        <v>26</v>
      </c>
    </row>
    <row r="888" spans="1:2" ht="30">
      <c r="A888" s="5">
        <v>1530</v>
      </c>
      <c r="B888" s="6" t="s">
        <v>94</v>
      </c>
    </row>
    <row r="889" spans="1:2">
      <c r="A889" s="5">
        <v>1531</v>
      </c>
      <c r="B889" s="6" t="s">
        <v>540</v>
      </c>
    </row>
    <row r="890" spans="1:2">
      <c r="A890" s="5">
        <v>1532</v>
      </c>
      <c r="B890" s="6" t="s">
        <v>493</v>
      </c>
    </row>
    <row r="891" spans="1:2">
      <c r="A891" s="5">
        <v>1533</v>
      </c>
      <c r="B891" s="6" t="s">
        <v>1156</v>
      </c>
    </row>
    <row r="892" spans="1:2" ht="30">
      <c r="A892" s="5">
        <v>1534</v>
      </c>
      <c r="B892" s="6" t="s">
        <v>61</v>
      </c>
    </row>
    <row r="893" spans="1:2" ht="30">
      <c r="A893" s="5">
        <v>1535</v>
      </c>
      <c r="B893" s="6" t="s">
        <v>1111</v>
      </c>
    </row>
    <row r="894" spans="1:2">
      <c r="A894" s="5">
        <v>1536</v>
      </c>
      <c r="B894" s="6" t="s">
        <v>1110</v>
      </c>
    </row>
    <row r="895" spans="1:2">
      <c r="A895" s="5">
        <v>1539</v>
      </c>
      <c r="B895" s="6" t="s">
        <v>724</v>
      </c>
    </row>
    <row r="896" spans="1:2">
      <c r="A896" s="5">
        <v>1540</v>
      </c>
      <c r="B896" s="6" t="s">
        <v>556</v>
      </c>
    </row>
    <row r="897" spans="1:2" ht="30">
      <c r="A897" s="5">
        <v>1541</v>
      </c>
      <c r="B897" s="6" t="s">
        <v>1062</v>
      </c>
    </row>
    <row r="898" spans="1:2">
      <c r="A898" s="5">
        <v>1542</v>
      </c>
      <c r="B898" s="6" t="s">
        <v>482</v>
      </c>
    </row>
    <row r="899" spans="1:2">
      <c r="A899" s="5">
        <v>1543</v>
      </c>
      <c r="B899" s="6" t="s">
        <v>598</v>
      </c>
    </row>
    <row r="900" spans="1:2">
      <c r="A900" s="5">
        <v>1545</v>
      </c>
      <c r="B900" s="6" t="s">
        <v>1137</v>
      </c>
    </row>
    <row r="901" spans="1:2">
      <c r="A901" s="5">
        <v>1546</v>
      </c>
      <c r="B901" s="6" t="s">
        <v>378</v>
      </c>
    </row>
    <row r="902" spans="1:2">
      <c r="A902" s="5">
        <v>1547</v>
      </c>
      <c r="B902" s="6" t="s">
        <v>375</v>
      </c>
    </row>
    <row r="903" spans="1:2">
      <c r="A903" s="5">
        <v>1550</v>
      </c>
      <c r="B903" s="6" t="s">
        <v>373</v>
      </c>
    </row>
    <row r="904" spans="1:2">
      <c r="A904" s="5">
        <v>1551</v>
      </c>
      <c r="B904" s="6" t="s">
        <v>379</v>
      </c>
    </row>
    <row r="905" spans="1:2">
      <c r="A905" s="5">
        <v>1552</v>
      </c>
      <c r="B905" s="6" t="s">
        <v>380</v>
      </c>
    </row>
    <row r="906" spans="1:2">
      <c r="A906" s="5">
        <v>1553</v>
      </c>
      <c r="B906" s="6" t="s">
        <v>600</v>
      </c>
    </row>
    <row r="907" spans="1:2">
      <c r="A907" s="5">
        <v>1554</v>
      </c>
      <c r="B907" s="6" t="s">
        <v>38</v>
      </c>
    </row>
    <row r="908" spans="1:2">
      <c r="A908" s="5">
        <v>1555</v>
      </c>
      <c r="B908" s="6" t="s">
        <v>1023</v>
      </c>
    </row>
    <row r="909" spans="1:2">
      <c r="A909" s="5">
        <v>1556</v>
      </c>
      <c r="B909" s="6" t="s">
        <v>604</v>
      </c>
    </row>
    <row r="910" spans="1:2">
      <c r="A910" s="5">
        <v>1557</v>
      </c>
      <c r="B910" s="6" t="s">
        <v>603</v>
      </c>
    </row>
    <row r="911" spans="1:2">
      <c r="A911" s="5">
        <v>1558</v>
      </c>
      <c r="B911" s="6" t="s">
        <v>592</v>
      </c>
    </row>
    <row r="912" spans="1:2">
      <c r="A912" s="5">
        <v>1559</v>
      </c>
      <c r="B912" s="6" t="s">
        <v>259</v>
      </c>
    </row>
    <row r="913" spans="1:2">
      <c r="A913" s="5">
        <v>1560</v>
      </c>
      <c r="B913" s="6" t="s">
        <v>612</v>
      </c>
    </row>
    <row r="914" spans="1:2">
      <c r="A914" s="5">
        <v>1561</v>
      </c>
      <c r="B914" s="6" t="s">
        <v>276</v>
      </c>
    </row>
    <row r="915" spans="1:2">
      <c r="A915" s="5">
        <v>1562</v>
      </c>
      <c r="B915" s="6" t="s">
        <v>495</v>
      </c>
    </row>
    <row r="916" spans="1:2">
      <c r="A916" s="5">
        <v>1563</v>
      </c>
      <c r="B916" s="6" t="s">
        <v>522</v>
      </c>
    </row>
    <row r="917" spans="1:2">
      <c r="A917" s="5">
        <v>1564</v>
      </c>
      <c r="B917" s="6" t="s">
        <v>1018</v>
      </c>
    </row>
    <row r="918" spans="1:2" ht="30">
      <c r="A918" s="5">
        <v>1565</v>
      </c>
      <c r="B918" s="6" t="s">
        <v>1170</v>
      </c>
    </row>
    <row r="919" spans="1:2">
      <c r="A919" s="5">
        <v>1566</v>
      </c>
      <c r="B919" s="6" t="s">
        <v>71</v>
      </c>
    </row>
    <row r="920" spans="1:2">
      <c r="A920" s="5">
        <v>1567</v>
      </c>
      <c r="B920" s="6" t="s">
        <v>54</v>
      </c>
    </row>
    <row r="921" spans="1:2">
      <c r="A921" s="5">
        <v>1568</v>
      </c>
      <c r="B921" s="6" t="s">
        <v>70</v>
      </c>
    </row>
    <row r="922" spans="1:2">
      <c r="A922" s="5">
        <v>1569</v>
      </c>
      <c r="B922" s="6" t="s">
        <v>546</v>
      </c>
    </row>
    <row r="923" spans="1:2">
      <c r="A923" s="5">
        <v>1570</v>
      </c>
      <c r="B923" s="6" t="s">
        <v>55</v>
      </c>
    </row>
    <row r="924" spans="1:2">
      <c r="A924" s="5">
        <v>1571</v>
      </c>
      <c r="B924" s="6" t="s">
        <v>56</v>
      </c>
    </row>
    <row r="925" spans="1:2">
      <c r="A925" s="5">
        <v>1572</v>
      </c>
      <c r="B925" s="6" t="s">
        <v>934</v>
      </c>
    </row>
    <row r="926" spans="1:2">
      <c r="A926" s="5">
        <v>1575</v>
      </c>
      <c r="B926" s="6" t="s">
        <v>41</v>
      </c>
    </row>
    <row r="927" spans="1:2">
      <c r="A927" s="5">
        <v>2205</v>
      </c>
      <c r="B927" s="6" t="s">
        <v>384</v>
      </c>
    </row>
    <row r="928" spans="1:2" ht="30">
      <c r="A928" s="5">
        <v>2206</v>
      </c>
      <c r="B928" s="6" t="s">
        <v>949</v>
      </c>
    </row>
    <row r="929" spans="1:2" ht="30">
      <c r="A929" s="5">
        <v>2207</v>
      </c>
      <c r="B929" s="6" t="s">
        <v>873</v>
      </c>
    </row>
    <row r="930" spans="1:2">
      <c r="A930" s="5">
        <v>2208</v>
      </c>
      <c r="B930" s="6" t="s">
        <v>722</v>
      </c>
    </row>
    <row r="931" spans="1:2">
      <c r="A931" s="5">
        <v>2209</v>
      </c>
      <c r="B931" s="6" t="s">
        <v>1076</v>
      </c>
    </row>
    <row r="932" spans="1:2">
      <c r="A932" s="5">
        <v>2210</v>
      </c>
      <c r="B932" s="6" t="s">
        <v>1074</v>
      </c>
    </row>
    <row r="933" spans="1:2">
      <c r="A933" s="5">
        <v>2211</v>
      </c>
      <c r="B933" s="6" t="s">
        <v>483</v>
      </c>
    </row>
    <row r="934" spans="1:2">
      <c r="A934" s="5">
        <v>2213</v>
      </c>
      <c r="B934" s="6" t="s">
        <v>879</v>
      </c>
    </row>
    <row r="935" spans="1:2">
      <c r="A935" s="5">
        <v>2214</v>
      </c>
      <c r="B935" s="6" t="s">
        <v>605</v>
      </c>
    </row>
    <row r="936" spans="1:2">
      <c r="A936" s="5">
        <v>2215</v>
      </c>
      <c r="B936" s="6" t="s">
        <v>692</v>
      </c>
    </row>
    <row r="937" spans="1:2">
      <c r="A937" s="5">
        <v>2217</v>
      </c>
      <c r="B937" s="6" t="s">
        <v>117</v>
      </c>
    </row>
    <row r="938" spans="1:2">
      <c r="A938" s="5">
        <v>2218</v>
      </c>
      <c r="B938" s="6" t="s">
        <v>118</v>
      </c>
    </row>
    <row r="939" spans="1:2">
      <c r="A939" s="5">
        <v>2219</v>
      </c>
      <c r="B939" s="6" t="s">
        <v>119</v>
      </c>
    </row>
    <row r="940" spans="1:2">
      <c r="A940" s="5">
        <v>2220</v>
      </c>
      <c r="B940" s="6" t="s">
        <v>120</v>
      </c>
    </row>
    <row r="941" spans="1:2">
      <c r="A941" s="5">
        <v>2223</v>
      </c>
      <c r="B941" s="6" t="s">
        <v>121</v>
      </c>
    </row>
    <row r="942" spans="1:2">
      <c r="A942" s="5">
        <v>2227</v>
      </c>
      <c r="B942" s="6" t="s">
        <v>126</v>
      </c>
    </row>
    <row r="943" spans="1:2">
      <c r="A943" s="5">
        <v>2228</v>
      </c>
      <c r="B943" s="6" t="s">
        <v>125</v>
      </c>
    </row>
    <row r="944" spans="1:2">
      <c r="A944" s="5">
        <v>2229</v>
      </c>
      <c r="B944" s="6" t="s">
        <v>123</v>
      </c>
    </row>
    <row r="945" spans="1:2">
      <c r="A945" s="5">
        <v>2230</v>
      </c>
      <c r="B945" s="6" t="s">
        <v>124</v>
      </c>
    </row>
    <row r="946" spans="1:2">
      <c r="A946" s="5">
        <v>2231</v>
      </c>
      <c r="B946" s="6" t="s">
        <v>1130</v>
      </c>
    </row>
    <row r="947" spans="1:2">
      <c r="A947" s="5">
        <v>2232</v>
      </c>
      <c r="B947" s="6" t="s">
        <v>1131</v>
      </c>
    </row>
    <row r="948" spans="1:2">
      <c r="A948" s="5">
        <v>2233</v>
      </c>
      <c r="B948" s="6" t="s">
        <v>1132</v>
      </c>
    </row>
    <row r="949" spans="1:2">
      <c r="A949" s="5">
        <v>2234</v>
      </c>
      <c r="B949" s="6" t="s">
        <v>769</v>
      </c>
    </row>
    <row r="950" spans="1:2">
      <c r="A950" s="5">
        <v>2235</v>
      </c>
      <c r="B950" s="6" t="s">
        <v>770</v>
      </c>
    </row>
    <row r="951" spans="1:2">
      <c r="A951" s="5">
        <v>2236</v>
      </c>
      <c r="B951" s="6" t="s">
        <v>771</v>
      </c>
    </row>
    <row r="952" spans="1:2">
      <c r="A952" s="5">
        <v>2237</v>
      </c>
      <c r="B952" s="6" t="s">
        <v>772</v>
      </c>
    </row>
    <row r="953" spans="1:2">
      <c r="A953" s="5">
        <v>2238</v>
      </c>
      <c r="B953" s="6" t="s">
        <v>1033</v>
      </c>
    </row>
    <row r="954" spans="1:2">
      <c r="A954" s="5">
        <v>2239</v>
      </c>
      <c r="B954" s="6" t="s">
        <v>862</v>
      </c>
    </row>
    <row r="955" spans="1:2">
      <c r="A955" s="5">
        <v>2240</v>
      </c>
      <c r="B955" s="6" t="s">
        <v>863</v>
      </c>
    </row>
    <row r="956" spans="1:2">
      <c r="A956" s="5">
        <v>2241</v>
      </c>
      <c r="B956" s="6" t="s">
        <v>864</v>
      </c>
    </row>
    <row r="957" spans="1:2">
      <c r="A957" s="5">
        <v>2242</v>
      </c>
      <c r="B957" s="6" t="s">
        <v>1094</v>
      </c>
    </row>
    <row r="958" spans="1:2">
      <c r="A958" s="5">
        <v>2245</v>
      </c>
      <c r="B958" s="6" t="s">
        <v>871</v>
      </c>
    </row>
    <row r="959" spans="1:2" ht="30">
      <c r="A959" s="5">
        <v>2246</v>
      </c>
      <c r="B959" s="6" t="s">
        <v>869</v>
      </c>
    </row>
    <row r="960" spans="1:2" ht="30">
      <c r="A960" s="5">
        <v>2248</v>
      </c>
      <c r="B960" s="6" t="s">
        <v>859</v>
      </c>
    </row>
    <row r="961" spans="1:2">
      <c r="A961" s="5">
        <v>2250</v>
      </c>
      <c r="B961" s="6" t="s">
        <v>876</v>
      </c>
    </row>
    <row r="962" spans="1:2">
      <c r="A962" s="5">
        <v>2253</v>
      </c>
      <c r="B962" s="6" t="s">
        <v>872</v>
      </c>
    </row>
    <row r="963" spans="1:2" ht="30">
      <c r="A963" s="5">
        <v>2258</v>
      </c>
      <c r="B963" s="6" t="s">
        <v>861</v>
      </c>
    </row>
    <row r="964" spans="1:2">
      <c r="A964" s="5">
        <v>2259</v>
      </c>
      <c r="B964" s="6" t="s">
        <v>868</v>
      </c>
    </row>
    <row r="965" spans="1:2">
      <c r="A965" s="5">
        <v>2260</v>
      </c>
      <c r="B965" s="6" t="s">
        <v>870</v>
      </c>
    </row>
    <row r="966" spans="1:2">
      <c r="A966" s="5">
        <v>2261</v>
      </c>
      <c r="B966" s="6" t="s">
        <v>224</v>
      </c>
    </row>
    <row r="967" spans="1:2">
      <c r="A967" s="5">
        <v>2262</v>
      </c>
      <c r="B967" s="6" t="s">
        <v>1008</v>
      </c>
    </row>
    <row r="968" spans="1:2">
      <c r="A968" s="5">
        <v>2263</v>
      </c>
      <c r="B968" s="6" t="s">
        <v>1009</v>
      </c>
    </row>
    <row r="969" spans="1:2">
      <c r="A969" s="5">
        <v>10091</v>
      </c>
      <c r="B969" s="6" t="s">
        <v>526</v>
      </c>
    </row>
    <row r="970" spans="1:2">
      <c r="A970" s="5">
        <v>11502</v>
      </c>
      <c r="B970" s="6" t="s">
        <v>267</v>
      </c>
    </row>
    <row r="971" spans="1:2">
      <c r="A971" s="5">
        <v>11503</v>
      </c>
      <c r="B971" s="6" t="s">
        <v>742</v>
      </c>
    </row>
    <row r="972" spans="1:2">
      <c r="A972" s="5">
        <v>17939</v>
      </c>
      <c r="B972" s="6" t="s">
        <v>1007</v>
      </c>
    </row>
    <row r="973" spans="1:2">
      <c r="A973" s="5">
        <v>19060</v>
      </c>
      <c r="B973" s="6" t="s">
        <v>919</v>
      </c>
    </row>
    <row r="974" spans="1:2">
      <c r="A974" s="5">
        <v>19567</v>
      </c>
      <c r="B974" s="6" t="s">
        <v>367</v>
      </c>
    </row>
    <row r="975" spans="1:2">
      <c r="A975" s="5">
        <v>19863</v>
      </c>
      <c r="B975" s="6" t="s">
        <v>920</v>
      </c>
    </row>
    <row r="976" spans="1:2">
      <c r="A976" s="5">
        <v>19864</v>
      </c>
      <c r="B976" s="6" t="s">
        <v>734</v>
      </c>
    </row>
    <row r="977" spans="1:2">
      <c r="A977" s="5">
        <v>19865</v>
      </c>
      <c r="B977" s="6" t="s">
        <v>827</v>
      </c>
    </row>
    <row r="978" spans="1:2">
      <c r="A978" s="5">
        <v>20525</v>
      </c>
      <c r="B978" s="6" t="s">
        <v>695</v>
      </c>
    </row>
    <row r="979" spans="1:2">
      <c r="A979" s="5">
        <v>20608</v>
      </c>
      <c r="B979" s="6" t="s">
        <v>735</v>
      </c>
    </row>
    <row r="980" spans="1:2">
      <c r="A980" s="5">
        <v>21235</v>
      </c>
      <c r="B980" s="6" t="s">
        <v>837</v>
      </c>
    </row>
    <row r="981" spans="1:2">
      <c r="A981" s="5">
        <v>21239</v>
      </c>
      <c r="B981" s="6" t="s">
        <v>551</v>
      </c>
    </row>
    <row r="982" spans="1:2">
      <c r="A982" s="5">
        <v>21279</v>
      </c>
      <c r="B982" s="6" t="s">
        <v>394</v>
      </c>
    </row>
    <row r="983" spans="1:2">
      <c r="A983" s="5">
        <v>21280</v>
      </c>
      <c r="B983" s="6" t="s">
        <v>473</v>
      </c>
    </row>
    <row r="984" spans="1:2">
      <c r="A984" s="5">
        <v>21281</v>
      </c>
      <c r="B984" s="6" t="s">
        <v>396</v>
      </c>
    </row>
    <row r="985" spans="1:2">
      <c r="A985" s="5">
        <v>21282</v>
      </c>
      <c r="B985" s="6" t="s">
        <v>394</v>
      </c>
    </row>
    <row r="986" spans="1:2">
      <c r="A986" s="5">
        <v>21283</v>
      </c>
      <c r="B986" s="6" t="s">
        <v>395</v>
      </c>
    </row>
    <row r="987" spans="1:2">
      <c r="A987" s="5">
        <v>21335</v>
      </c>
      <c r="B987" s="6" t="s">
        <v>782</v>
      </c>
    </row>
    <row r="988" spans="1:2" ht="30">
      <c r="A988" s="5">
        <v>21336</v>
      </c>
      <c r="B988" s="6" t="s">
        <v>547</v>
      </c>
    </row>
    <row r="989" spans="1:2">
      <c r="A989" s="5">
        <v>21355</v>
      </c>
      <c r="B989" s="6" t="s">
        <v>187</v>
      </c>
    </row>
    <row r="990" spans="1:2">
      <c r="A990" s="5">
        <v>21356</v>
      </c>
      <c r="B990" s="6" t="s">
        <v>188</v>
      </c>
    </row>
    <row r="991" spans="1:2">
      <c r="A991" s="5">
        <v>21358</v>
      </c>
      <c r="B991" s="6" t="s">
        <v>185</v>
      </c>
    </row>
    <row r="992" spans="1:2">
      <c r="A992" s="5">
        <v>21359</v>
      </c>
      <c r="B992" s="6" t="s">
        <v>186</v>
      </c>
    </row>
    <row r="993" spans="1:2">
      <c r="A993" s="5">
        <v>21362</v>
      </c>
      <c r="B993" s="6" t="s">
        <v>184</v>
      </c>
    </row>
    <row r="994" spans="1:2">
      <c r="A994" s="5">
        <v>21363</v>
      </c>
      <c r="B994" s="6" t="s">
        <v>699</v>
      </c>
    </row>
    <row r="995" spans="1:2">
      <c r="A995" s="5">
        <v>21365</v>
      </c>
      <c r="B995" s="6" t="s">
        <v>700</v>
      </c>
    </row>
    <row r="996" spans="1:2">
      <c r="A996" s="5">
        <v>21368</v>
      </c>
      <c r="B996" s="6" t="s">
        <v>701</v>
      </c>
    </row>
    <row r="997" spans="1:2">
      <c r="A997" s="5">
        <v>21371</v>
      </c>
      <c r="B997" s="6" t="s">
        <v>203</v>
      </c>
    </row>
    <row r="998" spans="1:2">
      <c r="A998" s="5">
        <v>21373</v>
      </c>
      <c r="B998" s="6" t="s">
        <v>204</v>
      </c>
    </row>
    <row r="999" spans="1:2">
      <c r="A999" s="5">
        <v>21379</v>
      </c>
      <c r="B999" s="6" t="s">
        <v>1025</v>
      </c>
    </row>
    <row r="1000" spans="1:2">
      <c r="A1000" s="5">
        <v>21380</v>
      </c>
      <c r="B1000" s="6" t="s">
        <v>486</v>
      </c>
    </row>
    <row r="1001" spans="1:2">
      <c r="A1001" s="5">
        <v>21381</v>
      </c>
      <c r="B1001" s="6" t="s">
        <v>520</v>
      </c>
    </row>
    <row r="1002" spans="1:2">
      <c r="A1002" s="5">
        <v>21382</v>
      </c>
      <c r="B1002" s="6" t="s">
        <v>521</v>
      </c>
    </row>
    <row r="1003" spans="1:2" ht="30">
      <c r="A1003" s="5">
        <v>21383</v>
      </c>
      <c r="B1003" s="6" t="s">
        <v>523</v>
      </c>
    </row>
    <row r="1004" spans="1:2">
      <c r="A1004" s="5">
        <v>21384</v>
      </c>
      <c r="B1004" s="6" t="s">
        <v>519</v>
      </c>
    </row>
    <row r="1005" spans="1:2">
      <c r="A1005" s="5">
        <v>21385</v>
      </c>
      <c r="B1005" s="6" t="s">
        <v>637</v>
      </c>
    </row>
    <row r="1006" spans="1:2">
      <c r="A1006" s="5">
        <v>21386</v>
      </c>
      <c r="B1006" s="6" t="s">
        <v>777</v>
      </c>
    </row>
    <row r="1007" spans="1:2">
      <c r="A1007" s="5">
        <v>21387</v>
      </c>
      <c r="B1007" s="6" t="s">
        <v>790</v>
      </c>
    </row>
    <row r="1008" spans="1:2">
      <c r="A1008" s="5">
        <v>21388</v>
      </c>
      <c r="B1008" s="6" t="s">
        <v>923</v>
      </c>
    </row>
    <row r="1009" spans="1:2">
      <c r="A1009" s="5">
        <v>21389</v>
      </c>
      <c r="B1009" s="6" t="s">
        <v>932</v>
      </c>
    </row>
    <row r="1010" spans="1:2">
      <c r="A1010" s="5">
        <v>21390</v>
      </c>
      <c r="B1010" s="6" t="s">
        <v>1042</v>
      </c>
    </row>
    <row r="1011" spans="1:2">
      <c r="A1011" s="5">
        <v>21392</v>
      </c>
      <c r="B1011" s="6" t="s">
        <v>1043</v>
      </c>
    </row>
    <row r="1012" spans="1:2">
      <c r="A1012" s="5">
        <v>21393</v>
      </c>
      <c r="B1012" s="6" t="s">
        <v>1068</v>
      </c>
    </row>
    <row r="1013" spans="1:2">
      <c r="A1013" s="5">
        <v>21394</v>
      </c>
      <c r="B1013" s="6" t="s">
        <v>1069</v>
      </c>
    </row>
    <row r="1014" spans="1:2">
      <c r="A1014" s="5">
        <v>21395</v>
      </c>
      <c r="B1014" s="6" t="s">
        <v>1101</v>
      </c>
    </row>
    <row r="1015" spans="1:2">
      <c r="A1015" s="5">
        <v>21396</v>
      </c>
      <c r="B1015" s="6" t="s">
        <v>1164</v>
      </c>
    </row>
    <row r="1016" spans="1:2">
      <c r="A1016" s="5">
        <v>21397</v>
      </c>
      <c r="B1016" s="6" t="s">
        <v>980</v>
      </c>
    </row>
    <row r="1017" spans="1:2">
      <c r="A1017" s="5">
        <v>21398</v>
      </c>
      <c r="B1017" s="6" t="s">
        <v>266</v>
      </c>
    </row>
    <row r="1018" spans="1:2">
      <c r="A1018" s="5">
        <v>21400</v>
      </c>
      <c r="B1018" s="6" t="s">
        <v>576</v>
      </c>
    </row>
    <row r="1019" spans="1:2">
      <c r="A1019" s="5">
        <v>21401</v>
      </c>
      <c r="B1019" s="6" t="s">
        <v>577</v>
      </c>
    </row>
    <row r="1020" spans="1:2">
      <c r="A1020" s="5">
        <v>21403</v>
      </c>
      <c r="B1020" s="6" t="s">
        <v>578</v>
      </c>
    </row>
    <row r="1021" spans="1:2">
      <c r="A1021" s="5">
        <v>21404</v>
      </c>
      <c r="B1021" s="6" t="s">
        <v>581</v>
      </c>
    </row>
    <row r="1022" spans="1:2">
      <c r="A1022" s="5">
        <v>21405</v>
      </c>
      <c r="B1022" s="6" t="s">
        <v>579</v>
      </c>
    </row>
    <row r="1023" spans="1:2">
      <c r="A1023" s="5">
        <v>21406</v>
      </c>
      <c r="B1023" s="6" t="s">
        <v>1061</v>
      </c>
    </row>
    <row r="1024" spans="1:2">
      <c r="A1024" s="5">
        <v>21407</v>
      </c>
      <c r="B1024" s="6" t="s">
        <v>1044</v>
      </c>
    </row>
    <row r="1025" spans="1:2">
      <c r="A1025" s="5">
        <v>21408</v>
      </c>
      <c r="B1025" s="6" t="s">
        <v>1020</v>
      </c>
    </row>
    <row r="1026" spans="1:2">
      <c r="A1026" s="5">
        <v>21409</v>
      </c>
      <c r="B1026" s="6" t="s">
        <v>1019</v>
      </c>
    </row>
    <row r="1027" spans="1:2">
      <c r="A1027" s="5">
        <v>21412</v>
      </c>
      <c r="B1027" s="6" t="s">
        <v>580</v>
      </c>
    </row>
    <row r="1028" spans="1:2">
      <c r="A1028" s="5">
        <v>21415</v>
      </c>
      <c r="B1028" s="6" t="s">
        <v>922</v>
      </c>
    </row>
    <row r="1029" spans="1:2">
      <c r="A1029" s="5">
        <v>21420</v>
      </c>
      <c r="B1029" s="6" t="s">
        <v>610</v>
      </c>
    </row>
    <row r="1030" spans="1:2">
      <c r="A1030" s="5">
        <v>21490</v>
      </c>
      <c r="B1030" s="6" t="s">
        <v>732</v>
      </c>
    </row>
    <row r="1031" spans="1:2">
      <c r="A1031" s="5">
        <v>21492</v>
      </c>
      <c r="B1031" s="6" t="s">
        <v>733</v>
      </c>
    </row>
    <row r="1032" spans="1:2">
      <c r="A1032" s="5">
        <v>21498</v>
      </c>
      <c r="B1032" s="6" t="s">
        <v>205</v>
      </c>
    </row>
    <row r="1033" spans="1:2">
      <c r="A1033" s="5">
        <v>21530</v>
      </c>
      <c r="B1033" s="6" t="s">
        <v>299</v>
      </c>
    </row>
    <row r="1034" spans="1:2">
      <c r="A1034" s="5">
        <v>21674</v>
      </c>
      <c r="B1034" s="6" t="s">
        <v>371</v>
      </c>
    </row>
    <row r="1035" spans="1:2" ht="30">
      <c r="A1035" s="5">
        <v>21675</v>
      </c>
      <c r="B1035" s="6" t="s">
        <v>946</v>
      </c>
    </row>
    <row r="1036" spans="1:2">
      <c r="A1036" s="5">
        <v>21686</v>
      </c>
      <c r="B1036" s="6" t="s">
        <v>606</v>
      </c>
    </row>
    <row r="1037" spans="1:2">
      <c r="A1037" s="5">
        <v>21767</v>
      </c>
      <c r="B1037" s="6" t="s">
        <v>355</v>
      </c>
    </row>
    <row r="1038" spans="1:2">
      <c r="A1038" s="5">
        <v>21768</v>
      </c>
      <c r="B1038" s="6" t="s">
        <v>792</v>
      </c>
    </row>
    <row r="1039" spans="1:2" ht="30">
      <c r="A1039" s="5">
        <v>21792</v>
      </c>
      <c r="B1039" s="6" t="s">
        <v>1011</v>
      </c>
    </row>
    <row r="1040" spans="1:2">
      <c r="A1040" s="5">
        <v>21801</v>
      </c>
      <c r="B1040" s="6" t="s">
        <v>137</v>
      </c>
    </row>
    <row r="1041" spans="1:2">
      <c r="A1041" s="5">
        <v>21810</v>
      </c>
      <c r="B1041" s="6" t="s">
        <v>155</v>
      </c>
    </row>
    <row r="1042" spans="1:2">
      <c r="A1042" s="5">
        <v>21921</v>
      </c>
      <c r="B1042" s="6" t="s">
        <v>176</v>
      </c>
    </row>
    <row r="1043" spans="1:2">
      <c r="A1043" s="5">
        <v>21965</v>
      </c>
      <c r="B1043" s="6" t="s">
        <v>361</v>
      </c>
    </row>
    <row r="1044" spans="1:2">
      <c r="A1044" s="5">
        <v>21966</v>
      </c>
      <c r="B1044" s="6" t="s">
        <v>360</v>
      </c>
    </row>
    <row r="1045" spans="1:2">
      <c r="A1045" s="5">
        <v>21967</v>
      </c>
      <c r="B1045" s="6" t="s">
        <v>362</v>
      </c>
    </row>
    <row r="1046" spans="1:2">
      <c r="A1046" s="5">
        <v>22094</v>
      </c>
      <c r="B1046" s="6" t="s">
        <v>441</v>
      </c>
    </row>
    <row r="1047" spans="1:2">
      <c r="A1047" s="5">
        <v>22095</v>
      </c>
      <c r="B1047" s="6" t="s">
        <v>419</v>
      </c>
    </row>
    <row r="1048" spans="1:2">
      <c r="A1048" s="5">
        <v>22096</v>
      </c>
      <c r="B1048" s="6" t="s">
        <v>399</v>
      </c>
    </row>
    <row r="1049" spans="1:2">
      <c r="A1049" s="5">
        <v>22097</v>
      </c>
      <c r="B1049" s="6" t="s">
        <v>422</v>
      </c>
    </row>
    <row r="1050" spans="1:2">
      <c r="A1050" s="5">
        <v>22098</v>
      </c>
      <c r="B1050" s="6" t="s">
        <v>420</v>
      </c>
    </row>
    <row r="1051" spans="1:2">
      <c r="A1051" s="5">
        <v>22099</v>
      </c>
      <c r="B1051" s="6" t="s">
        <v>462</v>
      </c>
    </row>
    <row r="1052" spans="1:2">
      <c r="A1052" s="5">
        <v>22100</v>
      </c>
      <c r="B1052" s="6" t="s">
        <v>463</v>
      </c>
    </row>
    <row r="1053" spans="1:2">
      <c r="A1053" s="5">
        <v>22101</v>
      </c>
      <c r="B1053" s="6" t="s">
        <v>400</v>
      </c>
    </row>
    <row r="1054" spans="1:2">
      <c r="A1054" s="5">
        <v>22102</v>
      </c>
      <c r="B1054" s="6" t="s">
        <v>401</v>
      </c>
    </row>
    <row r="1055" spans="1:2">
      <c r="A1055" s="5">
        <v>22103</v>
      </c>
      <c r="B1055" s="6" t="s">
        <v>402</v>
      </c>
    </row>
    <row r="1056" spans="1:2">
      <c r="A1056" s="5">
        <v>22104</v>
      </c>
      <c r="B1056" s="6" t="s">
        <v>461</v>
      </c>
    </row>
    <row r="1057" spans="1:2">
      <c r="A1057" s="5">
        <v>22106</v>
      </c>
      <c r="B1057" s="6" t="s">
        <v>32</v>
      </c>
    </row>
    <row r="1058" spans="1:2">
      <c r="A1058" s="5">
        <v>22172</v>
      </c>
      <c r="B1058" s="6" t="s">
        <v>933</v>
      </c>
    </row>
    <row r="1059" spans="1:2" ht="30">
      <c r="A1059" s="5">
        <v>22201</v>
      </c>
      <c r="B1059" s="6" t="s">
        <v>1072</v>
      </c>
    </row>
    <row r="1060" spans="1:2">
      <c r="A1060" s="5">
        <v>22252</v>
      </c>
      <c r="B1060" s="6" t="s">
        <v>762</v>
      </c>
    </row>
    <row r="1061" spans="1:2">
      <c r="A1061" s="5">
        <v>22253</v>
      </c>
      <c r="B1061" s="6" t="s">
        <v>763</v>
      </c>
    </row>
    <row r="1062" spans="1:2">
      <c r="A1062" s="5">
        <v>22254</v>
      </c>
      <c r="B1062" s="6" t="s">
        <v>764</v>
      </c>
    </row>
    <row r="1063" spans="1:2">
      <c r="A1063" s="5">
        <v>22255</v>
      </c>
      <c r="B1063" s="6" t="s">
        <v>761</v>
      </c>
    </row>
    <row r="1064" spans="1:2">
      <c r="A1064" s="5">
        <v>22256</v>
      </c>
      <c r="B1064" s="6" t="s">
        <v>759</v>
      </c>
    </row>
    <row r="1065" spans="1:2">
      <c r="A1065" s="5">
        <v>22258</v>
      </c>
      <c r="B1065" s="6" t="s">
        <v>760</v>
      </c>
    </row>
    <row r="1066" spans="1:2">
      <c r="A1066" s="5">
        <v>22309</v>
      </c>
      <c r="B1066" s="6" t="s">
        <v>114</v>
      </c>
    </row>
    <row r="1067" spans="1:2">
      <c r="A1067" s="5">
        <v>22329</v>
      </c>
      <c r="B1067" s="6" t="s">
        <v>43</v>
      </c>
    </row>
    <row r="1068" spans="1:2">
      <c r="A1068" s="5">
        <v>22330</v>
      </c>
      <c r="B1068" s="6" t="s">
        <v>44</v>
      </c>
    </row>
    <row r="1069" spans="1:2">
      <c r="A1069" s="5">
        <v>22356</v>
      </c>
      <c r="B1069" s="6" t="s">
        <v>982</v>
      </c>
    </row>
    <row r="1070" spans="1:2">
      <c r="A1070" s="5">
        <v>22372</v>
      </c>
      <c r="B1070" s="6" t="s">
        <v>517</v>
      </c>
    </row>
    <row r="1071" spans="1:2">
      <c r="A1071" s="5">
        <v>22373</v>
      </c>
      <c r="B1071" s="6" t="s">
        <v>1108</v>
      </c>
    </row>
    <row r="1072" spans="1:2">
      <c r="A1072" s="5">
        <v>22374</v>
      </c>
      <c r="B1072" s="6" t="s">
        <v>755</v>
      </c>
    </row>
    <row r="1073" spans="1:2">
      <c r="A1073" s="5">
        <v>22375</v>
      </c>
      <c r="B1073" s="6" t="s">
        <v>754</v>
      </c>
    </row>
    <row r="1074" spans="1:2">
      <c r="A1074" s="5">
        <v>22376</v>
      </c>
      <c r="B1074" s="6" t="s">
        <v>336</v>
      </c>
    </row>
    <row r="1075" spans="1:2">
      <c r="A1075" s="5">
        <v>22377</v>
      </c>
      <c r="B1075" s="6" t="s">
        <v>515</v>
      </c>
    </row>
    <row r="1076" spans="1:2">
      <c r="A1076" s="5">
        <v>22378</v>
      </c>
      <c r="B1076" s="6" t="s">
        <v>514</v>
      </c>
    </row>
    <row r="1077" spans="1:2">
      <c r="A1077" s="5">
        <v>22379</v>
      </c>
      <c r="B1077" s="6" t="s">
        <v>516</v>
      </c>
    </row>
    <row r="1078" spans="1:2">
      <c r="A1078" s="5">
        <v>22380</v>
      </c>
      <c r="B1078" s="6" t="s">
        <v>108</v>
      </c>
    </row>
    <row r="1079" spans="1:2">
      <c r="A1079" s="5">
        <v>22381</v>
      </c>
      <c r="B1079" s="6" t="s">
        <v>927</v>
      </c>
    </row>
    <row r="1080" spans="1:2">
      <c r="A1080" s="5">
        <v>22382</v>
      </c>
      <c r="B1080" s="6" t="s">
        <v>928</v>
      </c>
    </row>
    <row r="1081" spans="1:2">
      <c r="A1081" s="5">
        <v>22521</v>
      </c>
      <c r="B1081" s="6" t="s">
        <v>368</v>
      </c>
    </row>
    <row r="1082" spans="1:2">
      <c r="A1082" s="5">
        <v>22522</v>
      </c>
      <c r="B1082" s="6" t="s">
        <v>369</v>
      </c>
    </row>
    <row r="1083" spans="1:2">
      <c r="A1083" s="5">
        <v>22593</v>
      </c>
      <c r="B1083" s="6" t="s">
        <v>1080</v>
      </c>
    </row>
    <row r="1084" spans="1:2">
      <c r="A1084" s="5">
        <v>22612</v>
      </c>
      <c r="B1084" s="6" t="s">
        <v>1088</v>
      </c>
    </row>
    <row r="1085" spans="1:2">
      <c r="A1085" s="5">
        <v>22632</v>
      </c>
      <c r="B1085" s="6" t="s">
        <v>943</v>
      </c>
    </row>
    <row r="1086" spans="1:2">
      <c r="A1086" s="5">
        <v>22633</v>
      </c>
      <c r="B1086" s="6" t="s">
        <v>944</v>
      </c>
    </row>
    <row r="1087" spans="1:2">
      <c r="A1087" s="5">
        <v>22692</v>
      </c>
      <c r="B1087" s="6" t="s">
        <v>354</v>
      </c>
    </row>
    <row r="1088" spans="1:2" ht="30">
      <c r="A1088" s="5">
        <v>22695</v>
      </c>
      <c r="B1088" s="6" t="s">
        <v>344</v>
      </c>
    </row>
    <row r="1089" spans="1:2">
      <c r="A1089" s="5">
        <v>22713</v>
      </c>
      <c r="B1089" s="6" t="s">
        <v>353</v>
      </c>
    </row>
    <row r="1090" spans="1:2" ht="30">
      <c r="A1090" s="5">
        <v>22724</v>
      </c>
      <c r="B1090" s="6" t="s">
        <v>356</v>
      </c>
    </row>
    <row r="1091" spans="1:2">
      <c r="A1091" s="5">
        <v>22725</v>
      </c>
      <c r="B1091" s="6" t="s">
        <v>351</v>
      </c>
    </row>
    <row r="1092" spans="1:2">
      <c r="A1092" s="5">
        <v>22726</v>
      </c>
      <c r="B1092" s="6" t="s">
        <v>350</v>
      </c>
    </row>
    <row r="1093" spans="1:2">
      <c r="A1093" s="5">
        <v>22727</v>
      </c>
      <c r="B1093" s="6" t="s">
        <v>348</v>
      </c>
    </row>
    <row r="1094" spans="1:2">
      <c r="A1094" s="5">
        <v>22728</v>
      </c>
      <c r="B1094" s="6" t="s">
        <v>357</v>
      </c>
    </row>
    <row r="1095" spans="1:2">
      <c r="A1095" s="5">
        <v>22799</v>
      </c>
      <c r="B1095" s="6" t="s">
        <v>352</v>
      </c>
    </row>
    <row r="1096" spans="1:2" ht="30">
      <c r="A1096" s="5">
        <v>22814</v>
      </c>
      <c r="B1096" s="6" t="s">
        <v>999</v>
      </c>
    </row>
    <row r="1097" spans="1:2">
      <c r="A1097" s="5">
        <v>22815</v>
      </c>
      <c r="B1097" s="6" t="s">
        <v>342</v>
      </c>
    </row>
    <row r="1098" spans="1:2">
      <c r="A1098" s="5">
        <v>22821</v>
      </c>
      <c r="B1098" s="6" t="s">
        <v>190</v>
      </c>
    </row>
    <row r="1099" spans="1:2">
      <c r="A1099" s="5">
        <v>22823</v>
      </c>
      <c r="B1099" s="6" t="s">
        <v>1125</v>
      </c>
    </row>
    <row r="1100" spans="1:2">
      <c r="A1100" s="5">
        <v>22898</v>
      </c>
      <c r="B1100" s="6" t="s">
        <v>1087</v>
      </c>
    </row>
    <row r="1101" spans="1:2">
      <c r="A1101" s="5">
        <v>22946</v>
      </c>
      <c r="B1101" s="6" t="s">
        <v>765</v>
      </c>
    </row>
    <row r="1102" spans="1:2">
      <c r="A1102" s="5">
        <v>22949</v>
      </c>
      <c r="B1102" s="6" t="s">
        <v>758</v>
      </c>
    </row>
    <row r="1103" spans="1:2">
      <c r="A1103" s="5">
        <v>23103</v>
      </c>
      <c r="B1103" s="6" t="s">
        <v>303</v>
      </c>
    </row>
    <row r="1104" spans="1:2">
      <c r="A1104" s="5">
        <v>23190</v>
      </c>
      <c r="B1104" s="6" t="s">
        <v>902</v>
      </c>
    </row>
    <row r="1105" spans="1:2">
      <c r="A1105" s="5">
        <v>23273</v>
      </c>
      <c r="B1105" s="6" t="s">
        <v>1098</v>
      </c>
    </row>
    <row r="1106" spans="1:2">
      <c r="A1106" s="5">
        <v>23447</v>
      </c>
      <c r="B1106" s="6" t="s">
        <v>208</v>
      </c>
    </row>
    <row r="1107" spans="1:2">
      <c r="A1107" s="5">
        <v>23565</v>
      </c>
      <c r="B1107" s="6" t="s">
        <v>1106</v>
      </c>
    </row>
    <row r="1108" spans="1:2">
      <c r="A1108" s="5">
        <v>23566</v>
      </c>
      <c r="B1108" s="6" t="s">
        <v>1107</v>
      </c>
    </row>
    <row r="1109" spans="1:2">
      <c r="A1109" s="5">
        <v>23567</v>
      </c>
      <c r="B1109" s="6" t="s">
        <v>1104</v>
      </c>
    </row>
    <row r="1110" spans="1:2">
      <c r="A1110" s="5">
        <v>23568</v>
      </c>
      <c r="B1110" s="6" t="s">
        <v>1105</v>
      </c>
    </row>
    <row r="1111" spans="1:2">
      <c r="A1111" s="5">
        <v>23658</v>
      </c>
      <c r="B1111" s="6" t="s">
        <v>347</v>
      </c>
    </row>
    <row r="1112" spans="1:2">
      <c r="A1112" s="5">
        <v>23672</v>
      </c>
      <c r="B1112" s="6" t="s">
        <v>1084</v>
      </c>
    </row>
    <row r="1113" spans="1:2">
      <c r="A1113" s="5">
        <v>23714</v>
      </c>
      <c r="B1113" s="6" t="s">
        <v>1126</v>
      </c>
    </row>
    <row r="1114" spans="1:2">
      <c r="A1114" s="5">
        <v>23715</v>
      </c>
      <c r="B1114" s="6" t="s">
        <v>1081</v>
      </c>
    </row>
    <row r="1115" spans="1:2">
      <c r="A1115" s="5">
        <v>23744</v>
      </c>
      <c r="B1115" s="6" t="s">
        <v>958</v>
      </c>
    </row>
    <row r="1116" spans="1:2">
      <c r="A1116" s="5">
        <v>23745</v>
      </c>
      <c r="B1116" s="6" t="s">
        <v>957</v>
      </c>
    </row>
    <row r="1117" spans="1:2">
      <c r="A1117" s="5">
        <v>23748</v>
      </c>
      <c r="B1117" s="6" t="s">
        <v>959</v>
      </c>
    </row>
    <row r="1118" spans="1:2" ht="30">
      <c r="A1118" s="5">
        <v>23866</v>
      </c>
      <c r="B1118" s="6" t="s">
        <v>865</v>
      </c>
    </row>
    <row r="1119" spans="1:2">
      <c r="A1119" s="5">
        <v>23887</v>
      </c>
      <c r="B1119" s="6" t="s">
        <v>207</v>
      </c>
    </row>
    <row r="1120" spans="1:2">
      <c r="A1120" s="5">
        <v>23935</v>
      </c>
      <c r="B1120" s="6" t="s">
        <v>18</v>
      </c>
    </row>
    <row r="1121" spans="1:2">
      <c r="A1121" s="5">
        <v>23936</v>
      </c>
      <c r="B1121" s="6" t="s">
        <v>17</v>
      </c>
    </row>
    <row r="1122" spans="1:2" ht="30">
      <c r="A1122" s="5">
        <v>23939</v>
      </c>
      <c r="B1122" s="6" t="s">
        <v>877</v>
      </c>
    </row>
    <row r="1123" spans="1:2">
      <c r="A1123" s="5">
        <v>23956</v>
      </c>
      <c r="B1123" s="6" t="s">
        <v>1003</v>
      </c>
    </row>
    <row r="1124" spans="1:2" ht="30">
      <c r="A1124" s="5">
        <v>23970</v>
      </c>
      <c r="B1124" s="6" t="s">
        <v>898</v>
      </c>
    </row>
    <row r="1125" spans="1:2" ht="30">
      <c r="A1125" s="5">
        <v>24091</v>
      </c>
      <c r="B1125" s="6" t="s">
        <v>981</v>
      </c>
    </row>
    <row r="1126" spans="1:2" ht="30">
      <c r="A1126" s="5">
        <v>24192</v>
      </c>
      <c r="B1126" s="6" t="s">
        <v>93</v>
      </c>
    </row>
    <row r="1127" spans="1:2">
      <c r="A1127" s="5">
        <v>24220</v>
      </c>
      <c r="B1127" s="6" t="s">
        <v>921</v>
      </c>
    </row>
    <row r="1128" spans="1:2">
      <c r="A1128" s="5">
        <v>24342</v>
      </c>
      <c r="B1128" s="6" t="s">
        <v>994</v>
      </c>
    </row>
    <row r="1129" spans="1:2">
      <c r="A1129" s="5">
        <v>24349</v>
      </c>
      <c r="B1129" s="6" t="s">
        <v>841</v>
      </c>
    </row>
    <row r="1130" spans="1:2">
      <c r="A1130" s="5">
        <v>24352</v>
      </c>
      <c r="B1130" s="6" t="s">
        <v>1024</v>
      </c>
    </row>
    <row r="1131" spans="1:2">
      <c r="A1131" s="5">
        <v>24353</v>
      </c>
      <c r="B1131" s="6" t="s">
        <v>962</v>
      </c>
    </row>
    <row r="1132" spans="1:2">
      <c r="A1132" s="5">
        <v>24354</v>
      </c>
      <c r="B1132" s="6" t="s">
        <v>963</v>
      </c>
    </row>
    <row r="1133" spans="1:2">
      <c r="A1133" s="5">
        <v>24355</v>
      </c>
      <c r="B1133" s="6" t="s">
        <v>964</v>
      </c>
    </row>
    <row r="1134" spans="1:2">
      <c r="A1134" s="5">
        <v>24356</v>
      </c>
      <c r="B1134" s="6" t="s">
        <v>965</v>
      </c>
    </row>
    <row r="1135" spans="1:2">
      <c r="A1135" s="5">
        <v>24357</v>
      </c>
      <c r="B1135" s="6" t="s">
        <v>966</v>
      </c>
    </row>
    <row r="1136" spans="1:2">
      <c r="A1136" s="5">
        <v>24441</v>
      </c>
      <c r="B1136" s="6" t="s">
        <v>306</v>
      </c>
    </row>
    <row r="1137" spans="1:2">
      <c r="A1137" s="5">
        <v>24492</v>
      </c>
      <c r="B1137" s="6" t="s">
        <v>652</v>
      </c>
    </row>
    <row r="1138" spans="1:2">
      <c r="A1138" s="5">
        <v>24494</v>
      </c>
      <c r="B1138" s="6" t="s">
        <v>867</v>
      </c>
    </row>
    <row r="1139" spans="1:2">
      <c r="A1139" s="5">
        <v>24500</v>
      </c>
      <c r="B1139" s="6" t="s">
        <v>349</v>
      </c>
    </row>
    <row r="1140" spans="1:2">
      <c r="A1140" s="5">
        <v>24508</v>
      </c>
      <c r="B1140" s="6" t="s">
        <v>536</v>
      </c>
    </row>
    <row r="1141" spans="1:2">
      <c r="A1141" s="5">
        <v>24518</v>
      </c>
      <c r="B1141" s="6" t="s">
        <v>553</v>
      </c>
    </row>
    <row r="1142" spans="1:2">
      <c r="A1142" s="5">
        <v>24529</v>
      </c>
      <c r="B1142" s="6" t="s">
        <v>535</v>
      </c>
    </row>
    <row r="1143" spans="1:2">
      <c r="A1143" s="5">
        <v>24536</v>
      </c>
      <c r="B1143" s="6" t="s">
        <v>1133</v>
      </c>
    </row>
    <row r="1144" spans="1:2">
      <c r="A1144" s="5">
        <v>24537</v>
      </c>
      <c r="B1144" s="6" t="s">
        <v>329</v>
      </c>
    </row>
    <row r="1145" spans="1:2">
      <c r="A1145" s="5">
        <v>24538</v>
      </c>
      <c r="B1145" s="6" t="s">
        <v>314</v>
      </c>
    </row>
    <row r="1146" spans="1:2">
      <c r="A1146" s="5">
        <v>24539</v>
      </c>
      <c r="B1146" s="6" t="s">
        <v>330</v>
      </c>
    </row>
    <row r="1147" spans="1:2">
      <c r="A1147" s="5">
        <v>24540</v>
      </c>
      <c r="B1147" s="6" t="s">
        <v>315</v>
      </c>
    </row>
    <row r="1148" spans="1:2">
      <c r="A1148" s="5">
        <v>24541</v>
      </c>
      <c r="B1148" s="6" t="s">
        <v>316</v>
      </c>
    </row>
    <row r="1149" spans="1:2">
      <c r="A1149" s="5">
        <v>24542</v>
      </c>
      <c r="B1149" s="6" t="s">
        <v>318</v>
      </c>
    </row>
    <row r="1150" spans="1:2">
      <c r="A1150" s="5">
        <v>24543</v>
      </c>
      <c r="B1150" s="6" t="s">
        <v>319</v>
      </c>
    </row>
    <row r="1151" spans="1:2">
      <c r="A1151" s="5">
        <v>24544</v>
      </c>
      <c r="B1151" s="6" t="s">
        <v>317</v>
      </c>
    </row>
    <row r="1152" spans="1:2">
      <c r="A1152" s="5">
        <v>24583</v>
      </c>
      <c r="B1152" s="6" t="s">
        <v>866</v>
      </c>
    </row>
    <row r="1153" spans="1:2">
      <c r="A1153" s="5">
        <v>24607</v>
      </c>
      <c r="B1153" s="6" t="s">
        <v>720</v>
      </c>
    </row>
    <row r="1154" spans="1:2">
      <c r="A1154" s="5">
        <v>24698</v>
      </c>
      <c r="B1154" s="6" t="s">
        <v>345</v>
      </c>
    </row>
    <row r="1155" spans="1:2">
      <c r="A1155" s="5">
        <v>24699</v>
      </c>
      <c r="B1155" s="6" t="s">
        <v>346</v>
      </c>
    </row>
    <row r="1156" spans="1:2">
      <c r="A1156" s="5">
        <v>24701</v>
      </c>
      <c r="B1156" s="6" t="s">
        <v>206</v>
      </c>
    </row>
    <row r="1157" spans="1:2">
      <c r="A1157" s="5">
        <v>24723</v>
      </c>
      <c r="B1157" s="6" t="s">
        <v>37</v>
      </c>
    </row>
    <row r="1158" spans="1:2">
      <c r="A1158" s="5">
        <v>24783</v>
      </c>
      <c r="B1158" s="6" t="s">
        <v>908</v>
      </c>
    </row>
    <row r="1159" spans="1:2">
      <c r="A1159" s="5">
        <v>24902</v>
      </c>
      <c r="B1159" s="6" t="s">
        <v>820</v>
      </c>
    </row>
    <row r="1160" spans="1:2">
      <c r="A1160" s="5">
        <v>24903</v>
      </c>
      <c r="B1160" s="6" t="s">
        <v>822</v>
      </c>
    </row>
    <row r="1161" spans="1:2">
      <c r="A1161" s="5">
        <v>24904</v>
      </c>
      <c r="B1161" s="6" t="s">
        <v>784</v>
      </c>
    </row>
    <row r="1162" spans="1:2">
      <c r="A1162" s="5">
        <v>24905</v>
      </c>
      <c r="B1162" s="6" t="s">
        <v>674</v>
      </c>
    </row>
    <row r="1163" spans="1:2">
      <c r="A1163" s="5">
        <v>24941</v>
      </c>
      <c r="B1163" s="6" t="s">
        <v>343</v>
      </c>
    </row>
    <row r="1164" spans="1:2">
      <c r="A1164" s="5">
        <v>25105</v>
      </c>
      <c r="B1164" s="6" t="s">
        <v>328</v>
      </c>
    </row>
    <row r="1165" spans="1:2">
      <c r="A1165" s="5">
        <v>25114</v>
      </c>
      <c r="B1165" s="6" t="s">
        <v>1082</v>
      </c>
    </row>
    <row r="1166" spans="1:2">
      <c r="A1166" s="5">
        <v>25115</v>
      </c>
      <c r="B1166" s="6" t="s">
        <v>1086</v>
      </c>
    </row>
    <row r="1167" spans="1:2">
      <c r="A1167" s="5">
        <v>25146</v>
      </c>
      <c r="B1167" s="6" t="s">
        <v>181</v>
      </c>
    </row>
    <row r="1168" spans="1:2">
      <c r="A1168" s="5">
        <v>25159</v>
      </c>
      <c r="B1168" s="6" t="s">
        <v>821</v>
      </c>
    </row>
    <row r="1169" spans="1:3">
      <c r="A1169" s="5">
        <v>25236</v>
      </c>
      <c r="B1169" s="6" t="s">
        <v>530</v>
      </c>
    </row>
    <row r="1170" spans="1:3">
      <c r="A1170" s="5">
        <v>25239</v>
      </c>
      <c r="B1170" s="6" t="s">
        <v>875</v>
      </c>
    </row>
    <row r="1171" spans="1:3" ht="30">
      <c r="A1171" s="5">
        <v>25240</v>
      </c>
      <c r="B1171" s="6" t="s">
        <v>874</v>
      </c>
    </row>
    <row r="1172" spans="1:3">
      <c r="A1172" s="5">
        <v>25241</v>
      </c>
      <c r="B1172" s="6" t="s">
        <v>531</v>
      </c>
    </row>
    <row r="1173" spans="1:3">
      <c r="A1173" s="5">
        <v>25272</v>
      </c>
      <c r="B1173" s="6" t="s">
        <v>639</v>
      </c>
    </row>
    <row r="1174" spans="1:3">
      <c r="A1174" s="5">
        <v>25324</v>
      </c>
      <c r="B1174" s="6" t="s">
        <v>979</v>
      </c>
    </row>
    <row r="1175" spans="1:3">
      <c r="A1175" s="234">
        <v>25325</v>
      </c>
      <c r="B1175" s="235" t="s">
        <v>973</v>
      </c>
    </row>
    <row r="1176" spans="1:3">
      <c r="A1176" s="236">
        <v>25384</v>
      </c>
      <c r="B1176" s="237" t="s">
        <v>1393</v>
      </c>
      <c r="C1176" s="23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A4080-6367-48CA-94C2-76D62905745E}">
  <dimension ref="A3:S55"/>
  <sheetViews>
    <sheetView workbookViewId="0">
      <selection activeCell="L18" sqref="L18"/>
    </sheetView>
  </sheetViews>
  <sheetFormatPr baseColWidth="10" defaultRowHeight="15"/>
  <cols>
    <col min="2" max="2" width="22.5703125" bestFit="1" customWidth="1"/>
    <col min="3" max="3" width="15.7109375" bestFit="1" customWidth="1"/>
    <col min="4" max="4" width="15.7109375" customWidth="1"/>
    <col min="7" max="7" width="22.5703125" bestFit="1" customWidth="1"/>
    <col min="8" max="8" width="12.5703125" style="39" bestFit="1" customWidth="1"/>
    <col min="9" max="9" width="15.7109375" bestFit="1" customWidth="1"/>
    <col min="12" max="12" width="22.5703125" bestFit="1" customWidth="1"/>
    <col min="13" max="13" width="13.85546875" bestFit="1" customWidth="1"/>
    <col min="14" max="14" width="15.7109375" bestFit="1" customWidth="1"/>
    <col min="17" max="17" width="22.5703125" bestFit="1" customWidth="1"/>
  </cols>
  <sheetData>
    <row r="3" spans="1:19">
      <c r="B3" t="s">
        <v>1218</v>
      </c>
    </row>
    <row r="4" spans="1:19">
      <c r="A4" s="241" t="s">
        <v>1219</v>
      </c>
      <c r="B4" s="241"/>
      <c r="C4" s="241"/>
      <c r="D4" s="3"/>
      <c r="F4" s="241" t="s">
        <v>1239</v>
      </c>
      <c r="G4" s="241"/>
      <c r="H4" s="241"/>
      <c r="I4" s="241"/>
      <c r="K4" s="241" t="s">
        <v>1235</v>
      </c>
      <c r="L4" s="241"/>
      <c r="M4" s="241"/>
      <c r="N4" s="241"/>
      <c r="P4" s="241" t="s">
        <v>1244</v>
      </c>
      <c r="Q4" s="241"/>
      <c r="R4" s="241"/>
      <c r="S4" s="241"/>
    </row>
    <row r="5" spans="1:19">
      <c r="A5" s="7"/>
      <c r="B5" s="7" t="s">
        <v>1225</v>
      </c>
      <c r="C5" s="40" t="s">
        <v>1233</v>
      </c>
      <c r="D5" s="7" t="s">
        <v>1227</v>
      </c>
      <c r="F5" s="7"/>
      <c r="G5" s="7" t="s">
        <v>1225</v>
      </c>
      <c r="H5" s="40" t="s">
        <v>1233</v>
      </c>
      <c r="I5" s="7" t="s">
        <v>1227</v>
      </c>
      <c r="K5" s="7"/>
      <c r="L5" s="7" t="s">
        <v>1225</v>
      </c>
      <c r="M5" s="40" t="s">
        <v>1233</v>
      </c>
      <c r="N5" s="7" t="s">
        <v>1227</v>
      </c>
      <c r="P5" s="7"/>
      <c r="Q5" s="7" t="s">
        <v>1225</v>
      </c>
      <c r="R5" s="40" t="s">
        <v>1233</v>
      </c>
      <c r="S5" s="7" t="s">
        <v>1227</v>
      </c>
    </row>
    <row r="6" spans="1:19">
      <c r="A6" s="7" t="s">
        <v>1192</v>
      </c>
      <c r="B6" s="37">
        <v>511848</v>
      </c>
      <c r="C6" s="46"/>
      <c r="D6" s="7"/>
      <c r="F6" s="7" t="s">
        <v>1232</v>
      </c>
      <c r="G6" s="37">
        <v>469648</v>
      </c>
      <c r="H6" s="41">
        <v>228608</v>
      </c>
      <c r="I6" s="7">
        <v>108</v>
      </c>
      <c r="K6" s="7" t="s">
        <v>1232</v>
      </c>
      <c r="L6" s="37">
        <v>1883105</v>
      </c>
      <c r="M6" s="42">
        <v>288713</v>
      </c>
      <c r="N6" s="7"/>
      <c r="P6" s="7" t="s">
        <v>1232</v>
      </c>
      <c r="Q6" s="37"/>
      <c r="R6" s="42"/>
      <c r="S6" s="7"/>
    </row>
    <row r="7" spans="1:19">
      <c r="A7" s="7" t="s">
        <v>1221</v>
      </c>
      <c r="B7" s="37">
        <v>313863</v>
      </c>
      <c r="C7" s="41"/>
      <c r="D7" s="7"/>
      <c r="F7" s="7" t="s">
        <v>1224</v>
      </c>
      <c r="G7" s="37">
        <v>303970</v>
      </c>
      <c r="H7" s="41">
        <v>228497</v>
      </c>
      <c r="I7" s="7">
        <v>213.7</v>
      </c>
      <c r="K7" s="7" t="s">
        <v>1224</v>
      </c>
      <c r="L7" s="37">
        <f>520806</f>
        <v>520806</v>
      </c>
      <c r="M7" s="42">
        <v>228616</v>
      </c>
      <c r="N7" s="7"/>
      <c r="P7" s="7" t="s">
        <v>1224</v>
      </c>
      <c r="Q7" s="37"/>
      <c r="R7" s="41"/>
      <c r="S7" s="7"/>
    </row>
    <row r="8" spans="1:19">
      <c r="A8" s="7" t="s">
        <v>1220</v>
      </c>
      <c r="B8" s="37">
        <v>10344376</v>
      </c>
      <c r="C8" s="41"/>
      <c r="D8" s="7">
        <v>526.92999999999995</v>
      </c>
      <c r="F8" s="7" t="s">
        <v>1224</v>
      </c>
      <c r="G8" s="37">
        <v>521074</v>
      </c>
      <c r="H8" s="41">
        <v>228481</v>
      </c>
      <c r="I8" s="7"/>
      <c r="K8" s="7" t="s">
        <v>1224</v>
      </c>
      <c r="L8" s="37">
        <v>2704617</v>
      </c>
      <c r="M8" s="42">
        <v>228777</v>
      </c>
      <c r="N8" s="7"/>
      <c r="P8" s="7" t="s">
        <v>1222</v>
      </c>
      <c r="Q8" s="37"/>
      <c r="R8" s="41"/>
      <c r="S8" s="7"/>
    </row>
    <row r="9" spans="1:19">
      <c r="A9" s="7" t="s">
        <v>1222</v>
      </c>
      <c r="B9" s="37">
        <v>3589895</v>
      </c>
      <c r="C9" s="46"/>
      <c r="D9" s="7">
        <v>362</v>
      </c>
      <c r="F9" s="7" t="s">
        <v>1222</v>
      </c>
      <c r="G9" s="37">
        <v>2091960</v>
      </c>
      <c r="H9" s="41">
        <v>228519</v>
      </c>
      <c r="I9" s="7"/>
      <c r="K9" s="7" t="s">
        <v>1222</v>
      </c>
      <c r="L9" s="37">
        <v>4732678</v>
      </c>
      <c r="M9" s="42">
        <v>228839</v>
      </c>
      <c r="N9" s="7"/>
      <c r="P9" s="43" t="s">
        <v>1220</v>
      </c>
      <c r="Q9" s="37"/>
      <c r="R9" s="42"/>
      <c r="S9" s="7"/>
    </row>
    <row r="10" spans="1:19">
      <c r="A10" s="7" t="s">
        <v>1224</v>
      </c>
      <c r="B10" s="37">
        <v>3631894</v>
      </c>
      <c r="C10" s="7"/>
      <c r="D10" s="7">
        <v>261.2</v>
      </c>
      <c r="F10" s="7"/>
      <c r="G10" s="37"/>
      <c r="H10" s="41"/>
      <c r="I10" s="7"/>
      <c r="K10" s="43" t="s">
        <v>1220</v>
      </c>
      <c r="L10">
        <v>1284080</v>
      </c>
      <c r="M10">
        <v>228856</v>
      </c>
      <c r="N10" s="7"/>
      <c r="P10" s="43" t="s">
        <v>1221</v>
      </c>
      <c r="S10" s="7"/>
    </row>
    <row r="11" spans="1:19">
      <c r="A11" s="7" t="s">
        <v>1223</v>
      </c>
      <c r="B11" s="37">
        <v>292939</v>
      </c>
      <c r="C11" s="46"/>
      <c r="D11" s="7"/>
      <c r="F11" s="7"/>
      <c r="G11" s="37"/>
      <c r="H11" s="41"/>
      <c r="I11" s="7"/>
      <c r="K11" s="43" t="s">
        <v>1221</v>
      </c>
      <c r="L11">
        <v>1160144</v>
      </c>
      <c r="M11" s="42">
        <v>228924</v>
      </c>
      <c r="N11" s="7"/>
      <c r="P11" s="43" t="s">
        <v>1237</v>
      </c>
      <c r="Q11">
        <v>155400</v>
      </c>
      <c r="R11" s="42">
        <v>228602</v>
      </c>
      <c r="S11" s="7"/>
    </row>
    <row r="12" spans="1:19">
      <c r="A12" s="7" t="s">
        <v>1228</v>
      </c>
      <c r="B12" s="7">
        <v>185989</v>
      </c>
      <c r="C12" s="46"/>
      <c r="D12" s="7"/>
      <c r="F12" s="7"/>
      <c r="G12" s="7"/>
      <c r="H12" s="40"/>
      <c r="I12" s="7"/>
      <c r="K12" s="43" t="s">
        <v>1237</v>
      </c>
      <c r="L12" s="44">
        <f>3612+435440</f>
        <v>439052</v>
      </c>
      <c r="M12" s="42" t="s">
        <v>1252</v>
      </c>
      <c r="N12" s="7"/>
      <c r="P12" s="7" t="s">
        <v>1234</v>
      </c>
      <c r="R12" s="42"/>
      <c r="S12" s="7"/>
    </row>
    <row r="13" spans="1:19">
      <c r="A13" s="7" t="s">
        <v>1229</v>
      </c>
      <c r="B13" s="7">
        <v>3524252</v>
      </c>
      <c r="C13" s="46"/>
      <c r="D13" s="7">
        <v>614.65</v>
      </c>
      <c r="F13" s="7"/>
      <c r="G13" s="7"/>
      <c r="H13" s="40"/>
      <c r="I13" s="7"/>
      <c r="K13" s="7" t="s">
        <v>1234</v>
      </c>
      <c r="L13" s="37">
        <v>19940</v>
      </c>
      <c r="M13" s="42">
        <v>228985</v>
      </c>
      <c r="N13" s="7"/>
      <c r="P13" s="7" t="s">
        <v>1236</v>
      </c>
      <c r="Q13" s="37"/>
      <c r="R13" s="42"/>
      <c r="S13" s="7"/>
    </row>
    <row r="14" spans="1:19">
      <c r="A14" s="7"/>
      <c r="B14" s="7"/>
      <c r="C14" s="41"/>
      <c r="D14" s="7"/>
      <c r="F14" s="7"/>
      <c r="G14" s="7"/>
      <c r="H14" s="40"/>
      <c r="I14" s="7"/>
      <c r="K14" s="7" t="s">
        <v>1236</v>
      </c>
      <c r="L14" s="37">
        <v>275040</v>
      </c>
      <c r="M14" s="41">
        <v>228983</v>
      </c>
      <c r="N14" s="7"/>
      <c r="P14" s="7" t="s">
        <v>1228</v>
      </c>
      <c r="Q14" s="37"/>
      <c r="R14" s="41"/>
      <c r="S14" s="7"/>
    </row>
    <row r="15" spans="1:19">
      <c r="A15" s="7"/>
      <c r="B15" s="7"/>
      <c r="C15" s="46"/>
      <c r="D15" s="7"/>
      <c r="F15" s="7"/>
      <c r="G15" s="7"/>
      <c r="H15" s="40"/>
      <c r="I15" s="7"/>
      <c r="K15" s="7" t="s">
        <v>1228</v>
      </c>
      <c r="L15" s="7">
        <v>243638</v>
      </c>
      <c r="M15" s="42">
        <v>228974</v>
      </c>
      <c r="N15" s="7"/>
      <c r="P15" s="7" t="s">
        <v>1223</v>
      </c>
      <c r="Q15" s="7">
        <v>15270</v>
      </c>
      <c r="R15" s="42">
        <v>227819</v>
      </c>
      <c r="S15" s="7"/>
    </row>
    <row r="16" spans="1:19">
      <c r="A16" s="7"/>
      <c r="B16" s="7"/>
      <c r="C16" s="46"/>
      <c r="D16" s="7"/>
      <c r="F16" s="7"/>
      <c r="G16" s="7"/>
      <c r="H16" s="40"/>
      <c r="I16" s="7"/>
      <c r="K16" s="7" t="s">
        <v>1223</v>
      </c>
      <c r="L16" s="7">
        <v>235394</v>
      </c>
      <c r="M16" s="42">
        <v>228958</v>
      </c>
      <c r="N16" s="7"/>
      <c r="P16" s="7" t="s">
        <v>1192</v>
      </c>
      <c r="Q16" s="7"/>
      <c r="R16" s="42"/>
      <c r="S16" s="7"/>
    </row>
    <row r="17" spans="1:19">
      <c r="A17" s="7"/>
      <c r="B17" s="7"/>
      <c r="C17" s="46"/>
      <c r="D17" s="7"/>
      <c r="F17" s="7"/>
      <c r="G17" s="7"/>
      <c r="H17" s="40"/>
      <c r="I17" s="7"/>
      <c r="K17" s="7" t="s">
        <v>1192</v>
      </c>
      <c r="L17" s="7">
        <v>352086</v>
      </c>
      <c r="M17" s="42">
        <v>228945</v>
      </c>
      <c r="N17" s="7"/>
      <c r="P17" s="43" t="s">
        <v>1245</v>
      </c>
      <c r="Q17" s="7"/>
      <c r="R17" s="42"/>
      <c r="S17" s="7"/>
    </row>
    <row r="18" spans="1:19">
      <c r="A18" s="7" t="s">
        <v>1226</v>
      </c>
      <c r="B18" s="38">
        <f>SUM(B6:B17)</f>
        <v>22395056</v>
      </c>
      <c r="C18" s="40"/>
      <c r="D18" s="36">
        <f>SUM(D6:D17)</f>
        <v>1764.7799999999997</v>
      </c>
      <c r="F18" s="7" t="s">
        <v>1226</v>
      </c>
      <c r="G18" s="38">
        <f>SUM(G6:G17)</f>
        <v>3386652</v>
      </c>
      <c r="H18" s="40"/>
      <c r="I18" s="36">
        <f>SUM(I6:I17)</f>
        <v>321.7</v>
      </c>
      <c r="K18" s="7" t="s">
        <v>1226</v>
      </c>
      <c r="L18" s="38">
        <f>SUM(L6:L17)</f>
        <v>13850580</v>
      </c>
      <c r="M18" s="40"/>
      <c r="N18" s="36">
        <f>SUM(N6:N17)</f>
        <v>0</v>
      </c>
      <c r="P18" s="7" t="s">
        <v>1226</v>
      </c>
      <c r="Q18" s="38">
        <f>SUM(Q6:Q17)</f>
        <v>170670</v>
      </c>
      <c r="R18" s="40"/>
      <c r="S18" s="36">
        <f>SUM(S6:S17)</f>
        <v>0</v>
      </c>
    </row>
    <row r="23" spans="1:19">
      <c r="A23" s="241" t="s">
        <v>1185</v>
      </c>
      <c r="B23" s="241"/>
      <c r="C23" s="241"/>
      <c r="D23" s="241"/>
      <c r="F23" s="241" t="s">
        <v>1241</v>
      </c>
      <c r="G23" s="241"/>
      <c r="H23" s="241"/>
      <c r="I23" s="241"/>
      <c r="K23" s="241" t="s">
        <v>1238</v>
      </c>
      <c r="L23" s="241"/>
      <c r="M23" s="241"/>
      <c r="N23" s="241"/>
      <c r="P23" s="241" t="s">
        <v>1191</v>
      </c>
      <c r="Q23" s="241"/>
      <c r="R23" s="241"/>
      <c r="S23" s="241"/>
    </row>
    <row r="24" spans="1:19">
      <c r="A24" s="7"/>
      <c r="B24" s="7" t="s">
        <v>1225</v>
      </c>
      <c r="C24" s="40" t="s">
        <v>1233</v>
      </c>
      <c r="D24" s="7" t="s">
        <v>1227</v>
      </c>
      <c r="F24" s="7"/>
      <c r="G24" s="7" t="s">
        <v>1225</v>
      </c>
      <c r="H24" s="40" t="s">
        <v>1233</v>
      </c>
      <c r="I24" s="7" t="s">
        <v>1227</v>
      </c>
      <c r="K24" s="7"/>
      <c r="L24" s="7" t="s">
        <v>1225</v>
      </c>
      <c r="M24" s="40" t="s">
        <v>1233</v>
      </c>
      <c r="N24" s="7" t="s">
        <v>1227</v>
      </c>
      <c r="P24" s="7"/>
      <c r="Q24" s="7" t="s">
        <v>1225</v>
      </c>
      <c r="R24" s="40" t="s">
        <v>1233</v>
      </c>
      <c r="S24" s="7" t="s">
        <v>1227</v>
      </c>
    </row>
    <row r="25" spans="1:19">
      <c r="A25" s="7" t="s">
        <v>1232</v>
      </c>
      <c r="B25" s="37"/>
      <c r="C25" s="46"/>
      <c r="D25" s="7"/>
      <c r="F25" s="7" t="s">
        <v>1232</v>
      </c>
      <c r="G25" s="37">
        <f>3524252+195655</f>
        <v>3719907</v>
      </c>
      <c r="H25" s="42" t="s">
        <v>1240</v>
      </c>
      <c r="I25" s="7"/>
      <c r="K25" s="7" t="s">
        <v>1232</v>
      </c>
      <c r="L25" s="37"/>
      <c r="M25" s="42"/>
      <c r="N25" s="7"/>
      <c r="P25" s="7" t="s">
        <v>1232</v>
      </c>
      <c r="Q25" s="37"/>
      <c r="R25" s="42"/>
      <c r="S25" s="7"/>
    </row>
    <row r="26" spans="1:19">
      <c r="A26" s="7" t="s">
        <v>1224</v>
      </c>
      <c r="B26" s="37"/>
      <c r="C26" s="41"/>
      <c r="D26" s="7"/>
      <c r="F26" s="7"/>
      <c r="G26" s="37"/>
      <c r="H26" s="41"/>
      <c r="I26" s="7"/>
      <c r="K26" s="7" t="s">
        <v>1224</v>
      </c>
      <c r="L26" s="37"/>
      <c r="M26" s="41"/>
      <c r="N26" s="7"/>
      <c r="P26" s="7" t="s">
        <v>1224</v>
      </c>
      <c r="Q26" s="37">
        <v>72470</v>
      </c>
      <c r="R26" s="41">
        <v>226932</v>
      </c>
      <c r="S26" s="7"/>
    </row>
    <row r="27" spans="1:19">
      <c r="A27" s="7" t="s">
        <v>1224</v>
      </c>
      <c r="B27" s="37"/>
      <c r="C27" s="41"/>
      <c r="D27" s="7"/>
      <c r="F27" s="7" t="s">
        <v>1224</v>
      </c>
      <c r="G27" s="37">
        <v>3631894</v>
      </c>
      <c r="H27" s="41">
        <v>227900</v>
      </c>
      <c r="I27" s="7"/>
      <c r="K27" s="7" t="s">
        <v>1224</v>
      </c>
      <c r="L27" s="37">
        <f>2976691+1000134</f>
        <v>3976825</v>
      </c>
      <c r="M27" s="41" t="s">
        <v>1246</v>
      </c>
      <c r="N27" s="7"/>
      <c r="P27" s="7" t="s">
        <v>1222</v>
      </c>
      <c r="Q27" s="37"/>
      <c r="R27" s="41"/>
      <c r="S27" s="7"/>
    </row>
    <row r="28" spans="1:19">
      <c r="A28" s="7" t="s">
        <v>1222</v>
      </c>
      <c r="B28" s="37"/>
      <c r="C28" s="46"/>
      <c r="D28" s="7"/>
      <c r="F28" s="7" t="s">
        <v>1222</v>
      </c>
      <c r="G28" s="37">
        <f>3589895+603506</f>
        <v>4193401</v>
      </c>
      <c r="H28" s="46" t="s">
        <v>1242</v>
      </c>
      <c r="I28" s="7"/>
      <c r="K28" s="7" t="s">
        <v>1222</v>
      </c>
      <c r="L28" s="37">
        <v>3097582</v>
      </c>
      <c r="M28" s="42">
        <v>227510</v>
      </c>
      <c r="N28" s="7"/>
      <c r="P28" s="43" t="s">
        <v>1220</v>
      </c>
      <c r="Q28" s="37"/>
      <c r="R28" s="42"/>
      <c r="S28" s="7"/>
    </row>
    <row r="29" spans="1:19">
      <c r="A29" s="43" t="s">
        <v>1220</v>
      </c>
      <c r="B29" s="7"/>
      <c r="C29" s="7"/>
      <c r="D29" s="7"/>
      <c r="F29" s="43" t="s">
        <v>1220</v>
      </c>
      <c r="G29" s="7">
        <v>10344376</v>
      </c>
      <c r="H29" s="42">
        <v>228198</v>
      </c>
      <c r="I29" s="7"/>
      <c r="K29" s="43" t="s">
        <v>1220</v>
      </c>
      <c r="N29" s="7"/>
      <c r="P29" s="43" t="s">
        <v>1221</v>
      </c>
      <c r="S29" s="7"/>
    </row>
    <row r="30" spans="1:19">
      <c r="A30" s="43" t="s">
        <v>1221</v>
      </c>
      <c r="B30" s="7"/>
      <c r="C30" s="46"/>
      <c r="D30" s="7"/>
      <c r="F30" s="43" t="s">
        <v>1221</v>
      </c>
      <c r="G30" s="7">
        <v>313863</v>
      </c>
      <c r="H30" s="46">
        <v>228201</v>
      </c>
      <c r="I30" s="7"/>
      <c r="K30" s="43" t="s">
        <v>1221</v>
      </c>
      <c r="M30" s="42"/>
      <c r="N30" s="7"/>
      <c r="P30" s="43" t="s">
        <v>1237</v>
      </c>
      <c r="Q30">
        <f>10400+1</f>
        <v>10401</v>
      </c>
      <c r="R30" s="42">
        <v>227506</v>
      </c>
      <c r="S30" s="7"/>
    </row>
    <row r="31" spans="1:19">
      <c r="A31" s="43" t="s">
        <v>1237</v>
      </c>
      <c r="B31" s="7">
        <f>99200+42980</f>
        <v>142180</v>
      </c>
      <c r="C31" s="46" t="s">
        <v>1243</v>
      </c>
      <c r="D31" s="7"/>
      <c r="F31" s="43" t="s">
        <v>1237</v>
      </c>
      <c r="G31" s="7">
        <v>431813</v>
      </c>
      <c r="H31" s="46">
        <v>227727</v>
      </c>
      <c r="I31" s="7"/>
      <c r="K31" s="43" t="s">
        <v>1237</v>
      </c>
      <c r="L31">
        <v>15966</v>
      </c>
      <c r="M31" s="42">
        <v>228812</v>
      </c>
      <c r="N31" s="7"/>
      <c r="P31" s="7" t="s">
        <v>1234</v>
      </c>
      <c r="R31" s="42"/>
      <c r="S31" s="7"/>
    </row>
    <row r="32" spans="1:19">
      <c r="A32" s="7" t="s">
        <v>1234</v>
      </c>
      <c r="B32" s="37"/>
      <c r="C32" s="46"/>
      <c r="D32" s="7"/>
      <c r="F32" s="7" t="s">
        <v>1234</v>
      </c>
      <c r="G32" s="37"/>
      <c r="H32" s="46"/>
      <c r="I32" s="7"/>
      <c r="K32" s="7" t="s">
        <v>1234</v>
      </c>
      <c r="L32" s="37">
        <v>71610</v>
      </c>
      <c r="M32" s="42">
        <v>227509</v>
      </c>
      <c r="N32" s="7"/>
      <c r="P32" s="7" t="s">
        <v>1236</v>
      </c>
      <c r="Q32" s="37"/>
      <c r="R32" s="42"/>
      <c r="S32" s="7"/>
    </row>
    <row r="33" spans="1:19">
      <c r="A33" s="7" t="s">
        <v>1236</v>
      </c>
      <c r="B33" s="37"/>
      <c r="C33" s="41"/>
      <c r="D33" s="7"/>
      <c r="F33" s="7" t="s">
        <v>1236</v>
      </c>
      <c r="G33" s="37"/>
      <c r="H33" s="41"/>
      <c r="I33" s="7"/>
      <c r="K33" s="7" t="s">
        <v>1236</v>
      </c>
      <c r="L33" s="37">
        <v>129200</v>
      </c>
      <c r="M33" s="41">
        <v>227513</v>
      </c>
      <c r="N33" s="7"/>
      <c r="P33" s="7" t="s">
        <v>1228</v>
      </c>
      <c r="Q33" s="37"/>
      <c r="R33" s="41"/>
      <c r="S33" s="7"/>
    </row>
    <row r="34" spans="1:19">
      <c r="A34" s="7" t="s">
        <v>1228</v>
      </c>
      <c r="B34" s="7"/>
      <c r="C34" s="46"/>
      <c r="D34" s="7"/>
      <c r="F34" s="7" t="s">
        <v>1228</v>
      </c>
      <c r="G34" s="7">
        <v>185989</v>
      </c>
      <c r="H34" s="46">
        <v>228174</v>
      </c>
      <c r="I34" s="7"/>
      <c r="K34" s="7" t="s">
        <v>1228</v>
      </c>
      <c r="L34" s="7"/>
      <c r="M34" s="42"/>
      <c r="N34" s="7"/>
      <c r="P34" s="7" t="s">
        <v>1223</v>
      </c>
      <c r="Q34" s="7"/>
      <c r="R34" s="42"/>
      <c r="S34" s="7"/>
    </row>
    <row r="35" spans="1:19">
      <c r="A35" s="7" t="s">
        <v>1223</v>
      </c>
      <c r="B35" s="7">
        <f>16100+16100</f>
        <v>32200</v>
      </c>
      <c r="C35" s="46" t="s">
        <v>1247</v>
      </c>
      <c r="D35" s="7"/>
      <c r="F35" s="7" t="s">
        <v>1223</v>
      </c>
      <c r="G35" s="7">
        <v>292936</v>
      </c>
      <c r="H35" s="46">
        <v>228190</v>
      </c>
      <c r="I35" s="7"/>
      <c r="K35" s="7" t="s">
        <v>1223</v>
      </c>
      <c r="L35" s="7"/>
      <c r="M35" s="42"/>
      <c r="N35" s="7"/>
      <c r="P35" s="7" t="s">
        <v>1192</v>
      </c>
      <c r="Q35" s="7"/>
      <c r="R35" s="42"/>
      <c r="S35" s="7"/>
    </row>
    <row r="36" spans="1:19">
      <c r="A36" s="7" t="s">
        <v>1192</v>
      </c>
      <c r="B36" s="7"/>
      <c r="C36" s="46"/>
      <c r="D36" s="7"/>
      <c r="F36" s="7" t="s">
        <v>1192</v>
      </c>
      <c r="G36" s="7">
        <v>511848</v>
      </c>
      <c r="H36" s="46">
        <v>228219</v>
      </c>
      <c r="I36" s="7"/>
      <c r="K36" s="7" t="s">
        <v>1192</v>
      </c>
      <c r="L36" s="7"/>
      <c r="M36" s="42"/>
      <c r="N36" s="7"/>
      <c r="P36" s="43" t="s">
        <v>1245</v>
      </c>
      <c r="Q36" s="7"/>
      <c r="R36" s="42"/>
      <c r="S36" s="7"/>
    </row>
    <row r="37" spans="1:19">
      <c r="A37" s="7" t="s">
        <v>1226</v>
      </c>
      <c r="B37" s="38">
        <f>SUM(B25:B36)</f>
        <v>174380</v>
      </c>
      <c r="C37" s="40"/>
      <c r="D37" s="36">
        <f>SUM(D25:D36)</f>
        <v>0</v>
      </c>
      <c r="E37" s="45"/>
      <c r="F37" s="7" t="s">
        <v>1226</v>
      </c>
      <c r="G37" s="38">
        <f>SUM(G25:G36)</f>
        <v>23626027</v>
      </c>
      <c r="H37" s="40"/>
      <c r="I37" s="36">
        <f>SUM(I25:I36)</f>
        <v>0</v>
      </c>
      <c r="K37" s="7" t="s">
        <v>1226</v>
      </c>
      <c r="L37" s="38">
        <f>SUM(L25:L36)</f>
        <v>7291183</v>
      </c>
      <c r="M37" s="40"/>
      <c r="N37" s="36">
        <f>SUM(N25:N36)</f>
        <v>0</v>
      </c>
      <c r="P37" s="7" t="s">
        <v>1226</v>
      </c>
      <c r="Q37" s="38">
        <f>SUM(Q25:Q36)</f>
        <v>82871</v>
      </c>
      <c r="R37" s="40"/>
      <c r="S37" s="36">
        <f>SUM(S25:S36)</f>
        <v>0</v>
      </c>
    </row>
    <row r="41" spans="1:19">
      <c r="A41" s="241" t="s">
        <v>1182</v>
      </c>
      <c r="B41" s="241"/>
      <c r="C41" s="241"/>
      <c r="D41" s="241"/>
      <c r="F41" s="241" t="s">
        <v>1248</v>
      </c>
      <c r="G41" s="241"/>
      <c r="H41" s="241"/>
      <c r="I41" s="241"/>
    </row>
    <row r="42" spans="1:19">
      <c r="A42" s="7"/>
      <c r="B42" s="7" t="s">
        <v>1225</v>
      </c>
      <c r="C42" s="40" t="s">
        <v>1233</v>
      </c>
      <c r="D42" s="7" t="s">
        <v>1227</v>
      </c>
      <c r="F42" s="7"/>
      <c r="G42" s="7" t="s">
        <v>1225</v>
      </c>
      <c r="H42" s="40" t="s">
        <v>1233</v>
      </c>
      <c r="I42" s="7" t="s">
        <v>1227</v>
      </c>
    </row>
    <row r="43" spans="1:19">
      <c r="A43" s="7" t="s">
        <v>1232</v>
      </c>
      <c r="B43" s="37">
        <f>84230+1585363+1198647</f>
        <v>2868240</v>
      </c>
      <c r="C43" s="42" t="s">
        <v>1250</v>
      </c>
      <c r="D43" s="7"/>
      <c r="F43" s="7" t="s">
        <v>1232</v>
      </c>
      <c r="G43" s="37">
        <f>23700+1080077+1774769</f>
        <v>2878546</v>
      </c>
      <c r="H43" s="42" t="s">
        <v>1251</v>
      </c>
      <c r="I43" s="7"/>
    </row>
    <row r="44" spans="1:19">
      <c r="A44" s="7" t="s">
        <v>1224</v>
      </c>
      <c r="B44" s="37">
        <v>837398</v>
      </c>
      <c r="C44" s="41" t="s">
        <v>1249</v>
      </c>
      <c r="D44" s="7"/>
      <c r="F44" s="7" t="s">
        <v>1224</v>
      </c>
      <c r="G44" s="37"/>
      <c r="H44" s="41"/>
      <c r="I44" s="7"/>
    </row>
    <row r="45" spans="1:19">
      <c r="A45" s="7" t="s">
        <v>1222</v>
      </c>
      <c r="B45" s="37">
        <v>1460348</v>
      </c>
      <c r="C45" s="41">
        <v>227091</v>
      </c>
      <c r="D45" s="7"/>
      <c r="F45" s="7" t="s">
        <v>1222</v>
      </c>
      <c r="G45" s="37"/>
      <c r="H45" s="41"/>
      <c r="I45" s="7"/>
    </row>
    <row r="46" spans="1:19">
      <c r="A46" s="43" t="s">
        <v>1220</v>
      </c>
      <c r="B46" s="37"/>
      <c r="C46" s="42"/>
      <c r="D46" s="7"/>
      <c r="F46" s="43" t="s">
        <v>1220</v>
      </c>
      <c r="G46" s="37"/>
      <c r="H46" s="42"/>
      <c r="I46" s="7"/>
    </row>
    <row r="47" spans="1:19">
      <c r="A47" s="43" t="s">
        <v>1221</v>
      </c>
      <c r="D47" s="7"/>
      <c r="F47" s="43" t="s">
        <v>1221</v>
      </c>
      <c r="H47"/>
      <c r="I47" s="7"/>
    </row>
    <row r="48" spans="1:19">
      <c r="A48" s="43" t="s">
        <v>1237</v>
      </c>
      <c r="C48" s="42"/>
      <c r="D48" s="7"/>
      <c r="F48" s="43" t="s">
        <v>1237</v>
      </c>
      <c r="H48" s="42"/>
      <c r="I48" s="7"/>
    </row>
    <row r="49" spans="1:9">
      <c r="A49" s="7" t="s">
        <v>1234</v>
      </c>
      <c r="C49" s="42"/>
      <c r="D49" s="7"/>
      <c r="F49" s="7" t="s">
        <v>1234</v>
      </c>
      <c r="H49" s="42"/>
      <c r="I49" s="7"/>
    </row>
    <row r="50" spans="1:9">
      <c r="A50" s="7" t="s">
        <v>1236</v>
      </c>
      <c r="B50" s="37"/>
      <c r="C50" s="42"/>
      <c r="D50" s="7"/>
      <c r="F50" s="7" t="s">
        <v>1236</v>
      </c>
      <c r="G50" s="37"/>
      <c r="H50" s="42"/>
      <c r="I50" s="7"/>
    </row>
    <row r="51" spans="1:9">
      <c r="A51" s="7" t="s">
        <v>1228</v>
      </c>
      <c r="B51" s="37"/>
      <c r="C51" s="41"/>
      <c r="D51" s="7"/>
      <c r="F51" s="7" t="s">
        <v>1228</v>
      </c>
      <c r="G51" s="47">
        <v>1</v>
      </c>
      <c r="H51" s="48">
        <v>226634</v>
      </c>
      <c r="I51" s="7"/>
    </row>
    <row r="52" spans="1:9">
      <c r="A52" s="7" t="s">
        <v>1223</v>
      </c>
      <c r="B52" s="7"/>
      <c r="C52" s="42"/>
      <c r="D52" s="7"/>
      <c r="F52" s="7" t="s">
        <v>1223</v>
      </c>
      <c r="G52" s="7"/>
      <c r="H52" s="42"/>
      <c r="I52" s="7"/>
    </row>
    <row r="53" spans="1:9">
      <c r="A53" s="7" t="s">
        <v>1192</v>
      </c>
      <c r="B53" s="7"/>
      <c r="C53" s="42"/>
      <c r="D53" s="7"/>
      <c r="F53" s="7" t="s">
        <v>1192</v>
      </c>
      <c r="G53" s="7"/>
      <c r="H53" s="42"/>
      <c r="I53" s="7"/>
    </row>
    <row r="54" spans="1:9">
      <c r="A54" s="43" t="s">
        <v>1245</v>
      </c>
      <c r="B54" s="7"/>
      <c r="C54" s="42"/>
      <c r="D54" s="7"/>
      <c r="F54" s="43" t="s">
        <v>1245</v>
      </c>
      <c r="G54" s="7"/>
      <c r="H54" s="42"/>
      <c r="I54" s="7"/>
    </row>
    <row r="55" spans="1:9">
      <c r="A55" s="7" t="s">
        <v>1226</v>
      </c>
      <c r="B55" s="38">
        <f>SUM(B43:B54)</f>
        <v>5165986</v>
      </c>
      <c r="C55" s="40"/>
      <c r="D55" s="36">
        <f>SUM(D43:D54)</f>
        <v>0</v>
      </c>
      <c r="F55" s="7" t="s">
        <v>1226</v>
      </c>
      <c r="G55" s="38">
        <f>SUM(G43:G54)</f>
        <v>2878547</v>
      </c>
      <c r="H55" s="40"/>
      <c r="I55" s="36">
        <f>SUM(I43:I54)</f>
        <v>0</v>
      </c>
    </row>
  </sheetData>
  <mergeCells count="10">
    <mergeCell ref="P4:S4"/>
    <mergeCell ref="P23:S23"/>
    <mergeCell ref="A41:D41"/>
    <mergeCell ref="F41:I41"/>
    <mergeCell ref="A4:C4"/>
    <mergeCell ref="F4:I4"/>
    <mergeCell ref="K4:N4"/>
    <mergeCell ref="K23:N23"/>
    <mergeCell ref="A23:D23"/>
    <mergeCell ref="F23:I23"/>
  </mergeCells>
  <pageMargins left="0.7" right="0.7" top="0.75" bottom="0.75" header="0.3" footer="0.3"/>
  <pageSetup paperSize="2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IngresoDeDatos</vt:lpstr>
      <vt:lpstr>BaseDeDatos</vt:lpstr>
      <vt:lpstr>Datos Diferencias</vt:lpstr>
      <vt:lpstr>HOJA DE INFORMACION SISTEMA</vt:lpstr>
      <vt:lpstr>Hoja2</vt:lpstr>
      <vt:lpstr>ESTADISTICAS ARELLY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Terán</dc:creator>
  <cp:lastModifiedBy>drogueria disam</cp:lastModifiedBy>
  <cp:lastPrinted>2026-02-13T15:28:34Z</cp:lastPrinted>
  <dcterms:created xsi:type="dcterms:W3CDTF">2021-05-25T22:18:16Z</dcterms:created>
  <dcterms:modified xsi:type="dcterms:W3CDTF">2026-05-04T20:49:09Z</dcterms:modified>
</cp:coreProperties>
</file>